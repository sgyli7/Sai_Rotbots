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2c3d7d016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6824486786fb4a53"/>
    <x:sheet xmlns:r="http://schemas.openxmlformats.org/officeDocument/2006/relationships" name="打印加工" sheetId="2" r:id="Rb0905cdf1bd049e8"/>
    <x:sheet xmlns:r="http://schemas.openxmlformats.org/officeDocument/2006/relationships" name="设计参数" sheetId="3" r:id="R688137fc11ad465e"/>
    <x:sheet xmlns:r="http://schemas.openxmlformats.org/officeDocument/2006/relationships" name="来源" sheetId="4" r:id="R3863aa3ec45e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459A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33B"/>
      </x:patternFill>
    </x:fill>
    <x:fill>
      <x:patternFill patternType="solid">
        <x:fgColor rgb="FFFFF1E5"/>
      </x:patternFill>
    </x:fill>
    <x:fill>
      <x:patternFill patternType="solid">
        <x:fgColor rgb="FFE8F0F0"/>
      </x:patternFill>
    </x:fill>
    <x:fill>
      <x:patternFill patternType="solid">
        <x:fgColor rgb="FFF3F6F6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97d5656e4a5a" /><Relationship Type="http://schemas.openxmlformats.org/officeDocument/2006/relationships/theme" Target="/xl/theme/theme1.xml" Id="R9e60d774641740f5" /><Relationship Type="http://schemas.openxmlformats.org/officeDocument/2006/relationships/sharedStrings" Target="/xl/sharedStrings.xml" Id="R89c415c9cda14209" /><Relationship Type="http://schemas.openxmlformats.org/officeDocument/2006/relationships/worksheet" Target="/xl/worksheets/sheet1.xml" Id="R6824486786fb4a53" /><Relationship Type="http://schemas.openxmlformats.org/officeDocument/2006/relationships/worksheet" Target="/xl/worksheets/sheet2.xml" Id="Rb0905cdf1bd049e8" /><Relationship Type="http://schemas.openxmlformats.org/officeDocument/2006/relationships/worksheet" Target="/xl/worksheets/sheet3.xml" Id="R688137fc11ad465e" /><Relationship Type="http://schemas.openxmlformats.org/officeDocument/2006/relationships/worksheet" Target="/xl/worksheets/sheet4.xml" Id="R3863aa3ec45e4c33" /></Relationships>
</file>

<file path=xl/tables/table1.xml><?xml version="1.0" encoding="utf-8"?>
<x:table xmlns:x="http://schemas.openxmlformats.org/spreadsheetml/2006/main" id="1" name="BeakProcurement" displayName="BeakProcurement" ref="A7:L13" headerRowCount="1" totalsRowCount="0" totalsRowShown="0">
  <x:tableColumns count="12">
    <x:tableColumn id="1" name="编号"/>
    <x:tableColumn id="2" name="部件"/>
    <x:tableColumn id="3" name="型号／候选"/>
    <x:tableColumn id="4" name="装机需求"/>
    <x:tableColumn id="5" name="采购数量"/>
    <x:tableColumn id="6" name="采购单位"/>
    <x:tableColumn id="7" name="参考单价 USD"/>
    <x:tableColumn id="8" name="已报价小计 USD"/>
    <x:tableColumn id="9" name="状态"/>
    <x:tableColumn id="10" name="接口与装配说明"/>
    <x:tableColumn id="11" name="采购／参考入口"/>
    <x:tableColumn id="12" name="规格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akFabrication" displayName="BeakFabrication" ref="A5:H12" headerRowCount="1" totalsRowCount="0" totalsRowShown="0">
  <x:tableColumns count="8">
    <x:tableColumn id="1" name="编号"/>
    <x:tableColumn id="2" name="零件名"/>
    <x:tableColumn id="3" name="名称"/>
    <x:tableColumn id="4" name="数量"/>
    <x:tableColumn id="5" name="工艺候选"/>
    <x:tableColumn id="6" name="结构要求"/>
    <x:tableColumn id="7" name="费用归属"/>
    <x:tableColumn id="8" name="成熟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akParameters" displayName="BeakParameters" ref="A5:E16" headerRowCount="1" totalsRowCount="0" totalsRowShown="0">
  <x:tableColumns count="5">
    <x:tableColumn id="1" name="项目"/>
    <x:tableColumn id="2" name="数值"/>
    <x:tableColumn id="3" name="单位"/>
    <x:tableColumn id="4" name="证据状态"/>
    <x:tableColumn id="5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akSources" displayName="BeakSources" ref="A5:E12" headerRowCount="1" totalsRowCount="0" totalsRowShown="0">
  <x:tableColumns count="5">
    <x:tableColumn id="1" name="编号"/>
    <x:tableColumn id="2" name="资料"/>
    <x:tableColumn id="3" name="URL"/>
    <x:tableColumn id="4" name="发布者"/>
    <x:tableColumn id="5" name="核对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e6bf21f96847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99b41ebec44e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43823cdf494c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fb93b1c4c52480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0" hidden="0" customWidth="1"/>
    <x:col min="4" max="4" width="24" hidden="0" customWidth="1"/>
    <x:col min="5" max="5" width="11" hidden="0" customWidth="1"/>
    <x:col min="6" max="6" width="16" hidden="0" customWidth="1"/>
    <x:col min="7" max="7" width="16" hidden="0" customWidth="1"/>
    <x:col min="8" max="8" width="19" hidden="0" customWidth="1"/>
    <x:col min="9" max="9" width="29" hidden="0" customWidth="1"/>
    <x:col min="10" max="10" width="40" hidden="0" customWidth="1"/>
    <x:col min="11" max="11" width="36" hidden="0" customWidth="1"/>
    <x:col min="12" max="12" width="36" hidden="0" customWidth="1"/>
  </x:cols>
  <x:sheetData>
    <x:row r="1" ht="25" customHeight="1">
      <x:c r="A1" s="4" t="str">
        <x:v>GOOSE_V0.1 | 嘴部采购清单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34" customHeight="1">
      <x:c r="A3" s="9" t="str">
        <x:v>beak_refinement_01 · 2026-09-27｜只含本次嘴部更新；美元为官网参考价，未含税运，官网已报价商品有售罄标记。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32" customHeight="1">
      <x:c r="A4" s="13" t="str">
        <x:v>已报价采购小计（不含未报价项目）</x:v>
      </x:c>
      <x:c r="B4" s="13"/>
      <x:c r="C4" s="13"/>
      <x:c r="D4" s="16" t="n">
        <x:f>SUM(H8:H13)</x:f>
        <x:v>114.66</x:v>
      </x:c>
      <x:c r="E4" s="13" t="str">
        <x:v>计划采购但仍缺报价的项目数</x:v>
      </x:c>
      <x:c r="F4" s="13"/>
      <x:c r="G4" s="13"/>
      <x:c r="H4" s="13" t="n">
        <x:f>COUNTIF(E8:E13,"&gt;0")-COUNT(H8:H13)</x:f>
        <x:v>2</x:v>
      </x:c>
      <x:c r="I4" s="13" t="str">
        <x:v>编辑数量/报价后，H列与小计自动更新。</x:v>
      </x:c>
      <x:c r="J4" s="13"/>
      <x:c r="K4" s="13"/>
      <x:c r="L4" s="13"/>
    </x:row>
    <x:row r="7" ht="34" customHeight="1">
      <x:c r="A7" s="19" t="str">
        <x:v>编号</x:v>
      </x:c>
      <x:c r="B7" s="19" t="str">
        <x:v>部件</x:v>
      </x:c>
      <x:c r="C7" s="19" t="str">
        <x:v>型号／候选</x:v>
      </x:c>
      <x:c r="D7" s="19" t="str">
        <x:v>装机需求</x:v>
      </x:c>
      <x:c r="E7" s="19" t="str">
        <x:v>采购数量</x:v>
      </x:c>
      <x:c r="F7" s="19" t="str">
        <x:v>采购单位</x:v>
      </x:c>
      <x:c r="G7" s="19" t="str">
        <x:v>参考单价 USD</x:v>
      </x:c>
      <x:c r="H7" s="19" t="str">
        <x:v>已报价小计 USD</x:v>
      </x:c>
      <x:c r="I7" s="19" t="str">
        <x:v>状态</x:v>
      </x:c>
      <x:c r="J7" s="19" t="str">
        <x:v>接口与装配说明</x:v>
      </x:c>
      <x:c r="K7" s="19" t="str">
        <x:v>采购／参考入口</x:v>
      </x:c>
      <x:c r="L7" s="19" t="str">
        <x:v>规格依据</x:v>
      </x:c>
    </x:row>
    <x:row r="8" ht="76" customHeight="1">
      <x:c r="A8" s="32" t="str">
        <x:v>B01</x:v>
      </x:c>
      <x:c r="B8" s="32" t="str">
        <x:v>嘴部执行器</x:v>
      </x:c>
      <x:c r="C8" s="32" t="str">
        <x:v>ROBOTIS XC330-M288-T</x:v>
      </x:c>
      <x:c r="D8" s="32" t="str">
        <x:v>1个</x:v>
      </x:c>
      <x:c r="E8" s="36" t="n">
        <x:v>1</x:v>
      </x:c>
      <x:c r="F8" s="36" t="str">
        <x:v>个</x:v>
      </x:c>
      <x:c r="G8" s="37" t="n">
        <x:v>103.39</x:v>
      </x:c>
      <x:c r="H8" s="33" t="n">
        <x:f>IF(OR(E8=0,G8=""),"",E8*G8)</x:f>
        <x:v>103.39</x:v>
      </x:c>
      <x:c r="I8" s="32" t="str">
        <x:v>已选样测型号；官网标记售罄</x:v>
      </x:c>
      <x:c r="J8" s="32" t="str">
        <x:v>23g；20×34×26mm；5V推荐。仅作为嘴部驱动；先核对交期，完成夹力与温升试验。</x:v>
      </x:c>
      <x:c r="K8" s="32" t="str">
        <x:v>https://robotis.us/products/dynamixel-xc330-m288-t</x:v>
      </x:c>
      <x:c r="L8" s="32" t="str">
        <x:v>https://emanual.robotis.com/docs/en/dxl/x/xc330-m288/</x:v>
      </x:c>
    </x:row>
    <x:row r="9" ht="76" customHeight="1">
      <x:c r="A9" s="28" t="str">
        <x:v>B02</x:v>
      </x:c>
      <x:c r="B9" s="28" t="str">
        <x:v>双侧铰接支撑样件</x:v>
      </x:c>
      <x:c r="C9" s="28" t="str">
        <x:v>FPX330-H101 4pcs Set</x:v>
      </x:c>
      <x:c r="D9" s="28" t="str">
        <x:v>用1组，其余留作备件</x:v>
      </x:c>
      <x:c r="E9" s="38" t="n">
        <x:v>1</x:v>
      </x:c>
      <x:c r="F9" s="38" t="str">
        <x:v>四组套装</x:v>
      </x:c>
      <x:c r="G9" s="39" t="n">
        <x:v>11.27</x:v>
      </x:c>
      <x:c r="H9" s="29" t="n">
        <x:f>IF(OR(E9=0,G9=""),"",E9*G9)</x:f>
        <x:v>11.27</x:v>
      </x:c>
      <x:c r="I9" s="28" t="str">
        <x:v>装配样件；官网标记售罄</x:v>
      </x:c>
      <x:c r="J9" s="28" t="str">
        <x:v>含铰接框、惰轮与紧固件；先验证嘴根包络。按整包计价，不把单组摊销当支付金额。</x:v>
      </x:c>
      <x:c r="K9" s="28" t="str">
        <x:v>https://robotis.us/products/fpx330-h101-4pcs-set</x:v>
      </x:c>
      <x:c r="L9" s="28" t="str">
        <x:v>https://robotis.us/products/fpx330-h101-4pcs-set</x:v>
      </x:c>
    </x:row>
    <x:row r="10" ht="76" customHeight="1">
      <x:c r="A10" s="32" t="str">
        <x:v>B03</x:v>
      </x:c>
      <x:c r="B10" s="32" t="str">
        <x:v>通信与供电线材</x:v>
      </x:c>
      <x:c r="C10" s="32" t="str">
        <x:v>与X330配套的3针线材</x:v>
      </x:c>
      <x:c r="D10" s="32" t="str">
        <x:v>1条，长度待定</x:v>
      </x:c>
      <x:c r="E10" s="36" t="n">
        <x:v>0</x:v>
      </x:c>
      <x:c r="F10" s="36" t="str">
        <x:v>条</x:v>
      </x:c>
      <x:c r="G10" s="37"/>
      <x:c r="H10" s="33" t="str">
        <x:f>IF(OR(E10=0,G10=""),"",E10*G10)</x:f>
      </x:c>
      <x:c r="I10" s="32" t="str">
        <x:v>先核对随箱件与现有库存</x:v>
      </x:c>
      <x:c r="J10" s="32" t="str">
        <x:v>优先复用随箱线与已规划总线；相机和下颌全行程不能拉扯插头。需要补购时再改数量。</x:v>
      </x:c>
      <x:c r="K10" s="32" t="str">
        <x:v>https://robotis.us/products/dynamixel-xc330-m288-t</x:v>
      </x:c>
      <x:c r="L10" s="32" t="str">
        <x:v>https://emanual.robotis.com/docs/en/dxl/x/xc330-m288/</x:v>
      </x:c>
    </x:row>
    <x:row r="11" ht="76" customHeight="1">
      <x:c r="A11" s="28" t="str">
        <x:v>B04</x:v>
      </x:c>
      <x:c r="B11" s="28" t="str">
        <x:v>柔顺垫打印材料</x:v>
      </x:c>
      <x:c r="C11" s="28" t="str">
        <x:v>TPU 95A，小样用料</x:v>
      </x:c>
      <x:c r="D11" s="28" t="str">
        <x:v>上垫+下垫</x:v>
      </x:c>
      <x:c r="E11" s="38" t="n">
        <x:v>1</x:v>
      </x:c>
      <x:c r="F11" s="38" t="str">
        <x:v>小样用料份</x:v>
      </x:c>
      <x:c r="G11" s="39"/>
      <x:c r="H11" s="29" t="str">
        <x:f>IF(OR(E11=0,G11=""),"",E11*G11)</x:f>
      </x:c>
      <x:c r="I11" s="28" t="str">
        <x:v>待材料报价</x:v>
      </x:c>
      <x:c r="J11" s="28" t="str">
        <x:v>肋条和空腔需重新设计；95A是首轮材料起点，不等于已确定柔顺刚度。</x:v>
      </x:c>
      <x:c r="K11" s="28" t="str">
        <x:v>https://github.com/TheRobotStudio/SO-ARM100/blob/main/Optional/Compliant_Gripper/README.md</x:v>
      </x:c>
      <x:c r="L11" s="28" t="str">
        <x:v>https://github.com/TheRobotStudio/SO-ARM100/blob/main/Optional/Compliant_Gripper/README.md</x:v>
      </x:c>
    </x:row>
    <x:row r="12" ht="76" customHeight="1">
      <x:c r="A12" s="32" t="str">
        <x:v>B05</x:v>
      </x:c>
      <x:c r="B12" s="32" t="str">
        <x:v>刚性零件打印加工</x:v>
      </x:c>
      <x:c r="C12" s="32" t="str">
        <x:v>PETG原型；材料最终按试验确定</x:v>
      </x:c>
      <x:c r="D12" s="32" t="str">
        <x:v>见打印加工页</x:v>
      </x:c>
      <x:c r="E12" s="36" t="n">
        <x:v>1</x:v>
      </x:c>
      <x:c r="F12" s="36" t="str">
        <x:v>加工批</x:v>
      </x:c>
      <x:c r="G12" s="37"/>
      <x:c r="H12" s="33" t="str">
        <x:f>IF(OR(E12=0,G12=""),"",E12*G12)</x:f>
      </x:c>
      <x:c r="I12" s="32" t="str">
        <x:v>先完成CAD再询价</x:v>
      </x:c>
      <x:c r="J12" s="32" t="str">
        <x:v>包括上下喙、安装座、小护盖及垫片压紧件；打印件详表为同一批的分解，不重复加价。</x:v>
      </x:c>
      <x:c r="K12" s="32" t="str"/>
      <x:c r="L12" s="32" t="str">
        <x:v>本方案设计建议</x:v>
      </x:c>
    </x:row>
    <x:row r="13" ht="76" customHeight="1">
      <x:c r="A13" s="28" t="str">
        <x:v>B06</x:v>
      </x:c>
      <x:c r="B13" s="28" t="str">
        <x:v>补充紧固件</x:v>
      </x:c>
      <x:c r="C13" s="28" t="str">
        <x:v>按X330接口与实际CAD确定</x:v>
      </x:c>
      <x:c r="D13" s="28" t="str">
        <x:v>一套，规格数量待定</x:v>
      </x:c>
      <x:c r="E13" s="38" t="n">
        <x:v>0</x:v>
      </x:c>
      <x:c r="F13" s="38" t="str">
        <x:v>套</x:v>
      </x:c>
      <x:c r="G13" s="39"/>
      <x:c r="H13" s="29" t="str">
        <x:f>IF(OR(E13=0,G13=""),"",E13*G13)</x:f>
      </x:c>
      <x:c r="I13" s="28" t="str">
        <x:v>先核对B02随箱件</x:v>
      </x:c>
      <x:c r="J13" s="28" t="str">
        <x:v>先复用厂家套件；不从效果图推断螺钉长度。检查紧固件是否伸入柔顺垫和转动空间。</x:v>
      </x:c>
      <x:c r="K13" s="28" t="str">
        <x:v>https://robotis.us/products/fpx330-h101-4pcs-set</x:v>
      </x:c>
      <x:c r="L13" s="28" t="str">
        <x:v>https://robotis.us/products/fpx330-h101-4pcs-set</x:v>
      </x:c>
    </x:row>
  </x:sheetData>
  <x:mergeCells>
    <x:mergeCell ref="A1:L2"/>
    <x:mergeCell ref="A3:L3"/>
    <x:mergeCell ref="A4:C4"/>
    <x:mergeCell ref="E4:G4"/>
    <x:mergeCell ref="I4:L4"/>
  </x:mergeCells>
  <x:dataValidations count="1">
    <x:dataValidation type="whole" sqref="E8:E13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e6bf21f96847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3" hidden="0" customWidth="1"/>
    <x:col min="4" max="4" width="23" hidden="0" customWidth="1"/>
    <x:col min="5" max="5" width="31" hidden="0" customWidth="1"/>
    <x:col min="6" max="6" width="40" hidden="0" customWidth="1"/>
    <x:col min="7" max="7" width="15" hidden="0" customWidth="1"/>
    <x:col min="8" max="8" width="23" hidden="0" customWidth="1"/>
  </x:cols>
  <x:sheetData>
    <x:row r="1" ht="25" customHeight="1">
      <x:c r="A1" s="4" t="str">
        <x:v>GOOSE_V0.1 | 打印与加工零件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本页是B04/B05/B06费用的结构分解，不重复计价；零件名用于后续CAD，当前没有STL或STEP交付。</x:v>
      </x:c>
      <x:c r="B3" s="9"/>
      <x:c r="C3" s="9"/>
      <x:c r="D3" s="9"/>
      <x:c r="E3" s="9"/>
      <x:c r="F3" s="9"/>
      <x:c r="G3" s="9"/>
      <x:c r="H3" s="9"/>
    </x:row>
    <x:row r="5" ht="34" customHeight="1">
      <x:c r="A5" s="19" t="str">
        <x:v>编号</x:v>
      </x:c>
      <x:c r="B5" s="19" t="str">
        <x:v>零件名</x:v>
      </x:c>
      <x:c r="C5" s="19" t="str">
        <x:v>名称</x:v>
      </x:c>
      <x:c r="D5" s="19" t="str">
        <x:v>数量</x:v>
      </x:c>
      <x:c r="E5" s="19" t="str">
        <x:v>工艺候选</x:v>
      </x:c>
      <x:c r="F5" s="19" t="str">
        <x:v>结构要求</x:v>
      </x:c>
      <x:c r="G5" s="19" t="str">
        <x:v>费用归属</x:v>
      </x:c>
      <x:c r="H5" s="19" t="str">
        <x:v>成熟度</x:v>
      </x:c>
    </x:row>
    <x:row r="6" ht="70" customHeight="1">
      <x:c r="A6" s="44" t="str">
        <x:v>F01</x:v>
      </x:c>
      <x:c r="B6" s="44" t="str">
        <x:v>upper_beak</x:v>
      </x:c>
      <x:c r="C6" s="44" t="str">
        <x:v>刚性上喙</x:v>
      </x:c>
      <x:c r="D6" s="44" t="str">
        <x:v>1件</x:v>
      </x:c>
      <x:c r="E6" s="44" t="str">
        <x:v>打印刚性骨架</x:v>
      </x:c>
      <x:c r="F6" s="44" t="str">
        <x:v>固定在头部内部支架；上厚、带背脊、前端收窄、圆钝嘴尖；内侧留上垫卡槽。</x:v>
      </x:c>
      <x:c r="G6" s="44" t="str">
        <x:v>B05</x:v>
      </x:c>
      <x:c r="H6" s="44" t="str">
        <x:v>CAD未完成</x:v>
      </x:c>
    </x:row>
    <x:row r="7" ht="70" customHeight="1">
      <x:c r="A7" s="24" t="str">
        <x:v>F02</x:v>
      </x:c>
      <x:c r="B7" s="24" t="str">
        <x:v>lower_beak</x:v>
      </x:c>
      <x:c r="C7" s="24" t="str">
        <x:v>刚性下喙</x:v>
      </x:c>
      <x:c r="D7" s="24" t="str">
        <x:v>1件</x:v>
      </x:c>
      <x:c r="E7" s="24" t="str">
        <x:v>打印刚性骨架</x:v>
      </x:c>
      <x:c r="F7" s="24" t="str">
        <x:v>比上喙薄；单轴转动；双侧支撑接口、机械止挡、下垫安装槽。</x:v>
      </x:c>
      <x:c r="G7" s="24" t="str">
        <x:v>B05</x:v>
      </x:c>
      <x:c r="H7" s="24" t="str">
        <x:v>CAD未完成</x:v>
      </x:c>
    </x:row>
    <x:row r="8" ht="70" customHeight="1">
      <x:c r="A8" s="44" t="str">
        <x:v>F03</x:v>
      </x:c>
      <x:c r="B8" s="44" t="str">
        <x:v>upper_contact_pad</x:v>
      </x:c>
      <x:c r="C8" s="44" t="str">
        <x:v>上柔顺接触垫</x:v>
      </x:c>
      <x:c r="D8" s="44" t="str">
        <x:v>1件</x:v>
      </x:c>
      <x:c r="E8" s="44" t="str">
        <x:v>TPU 95A样件</x:v>
      </x:c>
      <x:c r="F8" s="44" t="str">
        <x:v>嘴尖较实的精捏区+后段浅槽与肋条空腔；受压不顶到刚壳。</x:v>
      </x:c>
      <x:c r="G8" s="44" t="str">
        <x:v>B04</x:v>
      </x:c>
      <x:c r="H8" s="44" t="str">
        <x:v>几何与硬度待试</x:v>
      </x:c>
    </x:row>
    <x:row r="9" ht="70" customHeight="1">
      <x:c r="A9" s="24" t="str">
        <x:v>F04</x:v>
      </x:c>
      <x:c r="B9" s="24" t="str">
        <x:v>lower_contact_pad</x:v>
      </x:c>
      <x:c r="C9" s="24" t="str">
        <x:v>下柔顺接触垫</x:v>
      </x:c>
      <x:c r="D9" s="24" t="str">
        <x:v>1件</x:v>
      </x:c>
      <x:c r="E9" s="24" t="str">
        <x:v>TPU 95A样件</x:v>
      </x:c>
      <x:c r="F9" s="24" t="str">
        <x:v>与上垫成对对合；保留变形余量与机械固定；不靠胶独自承载。</x:v>
      </x:c>
      <x:c r="G9" s="24" t="str">
        <x:v>B04</x:v>
      </x:c>
      <x:c r="H9" s="24" t="str">
        <x:v>几何与硬度待试</x:v>
      </x:c>
    </x:row>
    <x:row r="10" ht="70" customHeight="1">
      <x:c r="A10" s="44" t="str">
        <x:v>F05</x:v>
      </x:c>
      <x:c r="B10" s="44" t="str">
        <x:v>beak_mount</x:v>
      </x:c>
      <x:c r="C10" s="44" t="str">
        <x:v>嘴根安装座</x:v>
      </x:c>
      <x:c r="D10" s="44" t="str">
        <x:v>1件或总装后拆件</x:v>
      </x:c>
      <x:c r="E10" s="44" t="str">
        <x:v>打印/金属加强按试验选择</x:v>
      </x:c>
      <x:c r="F10" s="44" t="str">
        <x:v>与现有头部承力件连接；容纳真实电机、惰轮和插头，不只按机壳外轮廓占位。</x:v>
      </x:c>
      <x:c r="G10" s="44" t="str">
        <x:v>B05</x:v>
      </x:c>
      <x:c r="H10" s="44" t="str">
        <x:v>孔位与强度待定</x:v>
      </x:c>
    </x:row>
    <x:row r="11" ht="70" customHeight="1">
      <x:c r="A11" s="24" t="str">
        <x:v>F06</x:v>
      </x:c>
      <x:c r="B11" s="24" t="str">
        <x:v>beak_guard</x:v>
      </x:c>
      <x:c r="C11" s="24" t="str">
        <x:v>嘴根局部护盖</x:v>
      </x:c>
      <x:c r="D11" s="24" t="str">
        <x:v>1组</x:v>
      </x:c>
      <x:c r="E11" s="24" t="str">
        <x:v>薄壁打印</x:v>
      </x:c>
      <x:c r="F11" s="24" t="str">
        <x:v>保护根部夹点，保持检修和散热路径，不挡相机视场。</x:v>
      </x:c>
      <x:c r="G11" s="24" t="str">
        <x:v>B05</x:v>
      </x:c>
      <x:c r="H11" s="24" t="str">
        <x:v>分件数量待定</x:v>
      </x:c>
    </x:row>
    <x:row r="12" ht="70" customHeight="1">
      <x:c r="A12" s="44" t="str">
        <x:v>F07</x:v>
      </x:c>
      <x:c r="B12" s="44" t="str">
        <x:v>pad_retainer</x:v>
      </x:c>
      <x:c r="C12" s="44" t="str">
        <x:v>接触垫压紧件</x:v>
      </x:c>
      <x:c r="D12" s="44" t="str">
        <x:v>1组</x:v>
      </x:c>
      <x:c r="E12" s="44" t="str">
        <x:v>打印件+随箱/补充紧固件</x:v>
      </x:c>
      <x:c r="F12" s="44" t="str">
        <x:v>防止软垫被反复拉脱；数量由卡槽设计确定。</x:v>
      </x:c>
      <x:c r="G12" s="44" t="str">
        <x:v>B05/B06</x:v>
      </x:c>
      <x:c r="H12" s="44" t="str">
        <x:v>分件数量待定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399b41ebec44e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0" hidden="0" customWidth="1"/>
    <x:col min="4" max="4" width="18" hidden="0" customWidth="1"/>
    <x:col min="5" max="5" width="40" hidden="0" customWidth="1"/>
  </x:cols>
  <x:sheetData>
    <x:row r="1" ht="25" customHeight="1">
      <x:c r="A1" s="4" t="str">
        <x:v>GOOSE_V0.1 | 参数与证据状态</x:v>
      </x:c>
      <x:c r="B1" s="4"/>
      <x:c r="C1" s="4"/>
      <x:c r="D1" s="4"/>
      <x:c r="E1" s="4"/>
    </x:row>
    <x:row r="2" ht="25" customHeight="1">
      <x:c r="A2" s="4"/>
      <x:c r="B2" s="4"/>
      <x:c r="C2" s="4"/>
      <x:c r="D2" s="4"/>
      <x:c r="E2" s="4"/>
    </x:row>
    <x:row r="3" ht="34" customHeight="1">
      <x:c r="A3" s="9" t="str">
        <x:v>设计起点、预算与厂家规格分开记录；未完成CAD/质量核算的目标，不视为生产尺寸或已验收指标。</x:v>
      </x:c>
      <x:c r="B3" s="9"/>
      <x:c r="C3" s="9"/>
      <x:c r="D3" s="9"/>
      <x:c r="E3" s="9"/>
    </x:row>
    <x:row r="5" ht="34" customHeight="1">
      <x:c r="A5" s="19" t="str">
        <x:v>项目</x:v>
      </x:c>
      <x:c r="B5" s="19" t="str">
        <x:v>数值</x:v>
      </x:c>
      <x:c r="C5" s="19" t="str">
        <x:v>单位</x:v>
      </x:c>
      <x:c r="D5" s="19" t="str">
        <x:v>证据状态</x:v>
      </x:c>
      <x:c r="E5" s="19" t="str">
        <x:v>备注</x:v>
      </x:c>
    </x:row>
    <x:row r="6" ht="48" customHeight="1">
      <x:c r="A6" s="44" t="str">
        <x:v>嘴根至嘴尖外伸</x:v>
      </x:c>
      <x:c r="B6" s="44" t="str">
        <x:v>50–60</x:v>
      </x:c>
      <x:c r="C6" s="44" t="str">
        <x:v>mm</x:v>
      </x:c>
      <x:c r="D6" s="44" t="str">
        <x:v>设计起点</x:v>
      </x:c>
      <x:c r="E6" s="44" t="str">
        <x:v>在相机与嘴根实际装配包络确认后调整</x:v>
      </x:c>
    </x:row>
    <x:row r="7" ht="48" customHeight="1">
      <x:c r="A7" s="24" t="str">
        <x:v>嘴根外形宽度</x:v>
      </x:c>
      <x:c r="B7" s="24" t="str">
        <x:v>30–35</x:v>
      </x:c>
      <x:c r="C7" s="24" t="str">
        <x:v>mm</x:v>
      </x:c>
      <x:c r="D7" s="24" t="str">
        <x:v>设计起点</x:v>
      </x:c>
      <x:c r="E7" s="24" t="str">
        <x:v>不含未确定的侧支撑外凸；总成宽度需另核算</x:v>
      </x:c>
    </x:row>
    <x:row r="8" ht="48" customHeight="1">
      <x:c r="A8" s="44" t="str">
        <x:v>嘴尖有效夹取宽度</x:v>
      </x:c>
      <x:c r="B8" s="44" t="str">
        <x:v>8–12</x:v>
      </x:c>
      <x:c r="C8" s="44" t="str">
        <x:v>mm</x:v>
      </x:c>
      <x:c r="D8" s="44" t="str">
        <x:v>设计起点</x:v>
      </x:c>
      <x:c r="E8" s="44" t="str">
        <x:v>钝端对合；不做尖锐针尖或倒钩</x:v>
      </x:c>
    </x:row>
    <x:row r="9" ht="48" customHeight="1">
      <x:c r="A9" s="24" t="str">
        <x:v>闭合嘴根外形高度</x:v>
      </x:c>
      <x:c r="B9" s="24" t="str">
        <x:v>20–25</x:v>
      </x:c>
      <x:c r="C9" s="24" t="str">
        <x:v>mm</x:v>
      </x:c>
      <x:c r="D9" s="24" t="str">
        <x:v>设计起点</x:v>
      </x:c>
      <x:c r="E9" s="24" t="str">
        <x:v>上喙体积为主；电机允许部分进入既有头壳</x:v>
      </x:c>
    </x:row>
    <x:row r="10" ht="48" customHeight="1">
      <x:c r="A10" s="44" t="str">
        <x:v>嘴尖开口</x:v>
      </x:c>
      <x:c r="B10" s="44" t="str">
        <x:v>25–35</x:v>
      </x:c>
      <x:c r="C10" s="44" t="str">
        <x:v>mm</x:v>
      </x:c>
      <x:c r="D10" s="44" t="str">
        <x:v>设计目标</x:v>
      </x:c>
      <x:c r="E10" s="44" t="str">
        <x:v>与铰轴至接触点距离联算，不按图量尺寸</x:v>
      </x:c>
    </x:row>
    <x:row r="11" ht="48" customHeight="1">
      <x:c r="A11" s="24" t="str">
        <x:v>嘴部总成质量</x:v>
      </x:c>
      <x:c r="B11" s="24" t="str">
        <x:v>≤70</x:v>
      </x:c>
      <x:c r="C11" s="24" t="str">
        <x:v>g</x:v>
      </x:c>
      <x:c r="D11" s="24" t="str">
        <x:v>设计预算</x:v>
      </x:c>
      <x:c r="E11" s="24" t="str">
        <x:v>包括驱动、支架、嘴壳、软垫和局部线材；不含原相机/头壳；未称重</x:v>
      </x:c>
    </x:row>
    <x:row r="12" ht="48" customHeight="1">
      <x:c r="A12" s="44" t="str">
        <x:v>嘴部主动自由度</x:v>
      </x:c>
      <x:c r="B12" s="44" t="str">
        <x:v>1</x:v>
      </x:c>
      <x:c r="C12" s="44" t="str">
        <x:v>轴</x:v>
      </x:c>
      <x:c r="D12" s="44" t="str">
        <x:v>本轮选定方案</x:v>
      </x:c>
      <x:c r="E12" s="44" t="str">
        <x:v>固定上喙，活动下喙；侧向夹取使用现有头部姿态</x:v>
      </x:c>
    </x:row>
    <x:row r="13" ht="48" customHeight="1">
      <x:c r="A13" s="24" t="str">
        <x:v>执行器重量</x:v>
      </x:c>
      <x:c r="B13" s="24" t="str">
        <x:v>23</x:v>
      </x:c>
      <x:c r="C13" s="24" t="str">
        <x:v>g</x:v>
      </x:c>
      <x:c r="D13" s="24" t="str">
        <x:v>厂家规格</x:v>
      </x:c>
      <x:c r="E13" s="24" t="str">
        <x:v>https://emanual.robotis.com/docs/en/dxl/x/xc330-m288/</x:v>
      </x:c>
    </x:row>
    <x:row r="14" ht="48" customHeight="1">
      <x:c r="A14" s="44" t="str">
        <x:v>执行器外形</x:v>
      </x:c>
      <x:c r="B14" s="44" t="str">
        <x:v>20 × 34 × 26</x:v>
      </x:c>
      <x:c r="C14" s="44" t="str">
        <x:v>mm</x:v>
      </x:c>
      <x:c r="D14" s="44" t="str">
        <x:v>厂家规格</x:v>
      </x:c>
      <x:c r="E14" s="44" t="str">
        <x:v>不含支架、惰轮、舵盘、插头及转动扫掠空间；https://emanual.robotis.com/docs/en/dxl/x/xc330-m288/</x:v>
      </x:c>
    </x:row>
    <x:row r="15" ht="48" customHeight="1">
      <x:c r="A15" s="24" t="str">
        <x:v>推荐供电</x:v>
      </x:c>
      <x:c r="B15" s="24" t="str">
        <x:v>5</x:v>
      </x:c>
      <x:c r="C15" s="24" t="str">
        <x:v>V</x:v>
      </x:c>
      <x:c r="D15" s="24" t="str">
        <x:v>厂家规格</x:v>
      </x:c>
      <x:c r="E15" s="24" t="str">
        <x:v>厂商输入范围3.7–6.0V；https://emanual.robotis.com/docs/en/dxl/x/xc330-m288/</x:v>
      </x:c>
    </x:row>
    <x:row r="16" ht="48" customHeight="1">
      <x:c r="A16" s="44" t="str">
        <x:v>台架负载档位</x:v>
      </x:c>
      <x:c r="B16" s="44" t="str">
        <x:v>20 / 50 / 100</x:v>
      </x:c>
      <x:c r="C16" s="44" t="str">
        <x:v>g</x:v>
      </x:c>
      <x:c r="D16" s="44" t="str">
        <x:v>建议测试档位</x:v>
      </x:c>
      <x:c r="E16" s="44" t="str">
        <x:v>不是本体已验收载荷；记录物体材质、抓点与姿态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d643823cdf494c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40" hidden="0" customWidth="1"/>
    <x:col min="4" max="4" width="24" hidden="0" customWidth="1"/>
    <x:col min="5" max="5" width="17" hidden="0" customWidth="1"/>
  </x:cols>
  <x:sheetData>
    <x:row r="1" ht="25" customHeight="1">
      <x:c r="A1" s="4" t="str">
        <x:v>GOOSE_V0.1 | 资料来源</x:v>
      </x:c>
      <x:c r="B1" s="4"/>
      <x:c r="C1" s="4"/>
      <x:c r="D1" s="4"/>
      <x:c r="E1" s="4"/>
    </x:row>
    <x:row r="2" ht="25" customHeight="1">
      <x:c r="A2" s="4"/>
      <x:c r="B2" s="4"/>
      <x:c r="C2" s="4"/>
      <x:c r="D2" s="4"/>
      <x:c r="E2" s="4"/>
    </x:row>
    <x:row r="3" ht="34" customHeight="1">
      <x:c r="A3" s="9" t="str">
        <x:v>引用厂家数据时保留具体型号；几何、数量与装配关系为本方案建议。查阅日期不代表到货确认。</x:v>
      </x:c>
      <x:c r="B3" s="9"/>
      <x:c r="C3" s="9"/>
      <x:c r="D3" s="9"/>
      <x:c r="E3" s="9"/>
    </x:row>
    <x:row r="5" ht="34" customHeight="1">
      <x:c r="A5" s="19" t="str">
        <x:v>编号</x:v>
      </x:c>
      <x:c r="B5" s="19" t="str">
        <x:v>资料</x:v>
      </x:c>
      <x:c r="C5" s="19" t="str">
        <x:v>URL</x:v>
      </x:c>
      <x:c r="D5" s="19" t="str">
        <x:v>发布者</x:v>
      </x:c>
      <x:c r="E5" s="19" t="str">
        <x:v>核对日期</x:v>
      </x:c>
    </x:row>
    <x:row r="6" ht="68" customHeight="1">
      <x:c r="A6" s="24" t="str">
        <x:v>S01</x:v>
      </x:c>
      <x:c r="B6" s="24" t="str">
        <x:v>XC330-M288-T 规格与控制表</x:v>
      </x:c>
      <x:c r="C6" s="24" t="str">
        <x:v>https://emanual.robotis.com/docs/en/dxl/x/xc330-m288/</x:v>
      </x:c>
      <x:c r="D6" s="24" t="str">
        <x:v>ROBOTIS e-Manual</x:v>
      </x:c>
      <x:c r="E6" s="24" t="str">
        <x:v>2026-09-27</x:v>
      </x:c>
    </x:row>
    <x:row r="7" ht="68" customHeight="1">
      <x:c r="A7" s="24" t="str">
        <x:v>S02</x:v>
      </x:c>
      <x:c r="B7" s="24" t="str">
        <x:v>XC330-M288-T 官方采购页</x:v>
      </x:c>
      <x:c r="C7" s="24" t="str">
        <x:v>https://robotis.us/products/dynamixel-xc330-m288-t</x:v>
      </x:c>
      <x:c r="D7" s="24" t="str">
        <x:v>ROBOTIS AMERICA</x:v>
      </x:c>
      <x:c r="E7" s="24" t="str">
        <x:v>2026-09-27</x:v>
      </x:c>
    </x:row>
    <x:row r="8" ht="68" customHeight="1">
      <x:c r="A8" s="24" t="str">
        <x:v>S03</x:v>
      </x:c>
      <x:c r="B8" s="24" t="str">
        <x:v>FPX330-H101 四组套装与随箱件</x:v>
      </x:c>
      <x:c r="C8" s="24" t="str">
        <x:v>https://robotis.us/products/fpx330-h101-4pcs-set</x:v>
      </x:c>
      <x:c r="D8" s="24" t="str">
        <x:v>ROBOTIS AMERICA</x:v>
      </x:c>
      <x:c r="E8" s="24" t="str">
        <x:v>2026-09-27</x:v>
      </x:c>
    </x:row>
    <x:row r="9" ht="68" customHeight="1">
      <x:c r="A9" s="24" t="str">
        <x:v>S04</x:v>
      </x:c>
      <x:c r="B9" s="24" t="str">
        <x:v>SO101 柔顺夹爪设计与打印参考</x:v>
      </x:c>
      <x:c r="C9" s="24" t="str">
        <x:v>https://github.com/TheRobotStudio/SO-ARM100/blob/main/Optional/Compliant_Gripper/README.md</x:v>
      </x:c>
      <x:c r="D9" s="24" t="str">
        <x:v>TheRobotStudio</x:v>
      </x:c>
      <x:c r="E9" s="24" t="str">
        <x:v>2026-09-27</x:v>
      </x:c>
    </x:row>
    <x:row r="10" ht="68" customHeight="1">
      <x:c r="A10" s="24" t="str">
        <x:v>S05</x:v>
      </x:c>
      <x:c r="B10" s="24" t="str">
        <x:v>Sai_Rotbots 工程目录与命名规范</x:v>
      </x:c>
      <x:c r="C10" s="24" t="str">
        <x:v>https://github.com/sgyli7/Sai_Rotbots/blob/main/sai_robots_engineering_rules.md</x:v>
      </x:c>
      <x:c r="D10" s="24" t="str">
        <x:v>Sai_Rotbots</x:v>
      </x:c>
      <x:c r="E10" s="24" t="str">
        <x:v>2026-09-27</x:v>
      </x:c>
    </x:row>
    <x:row r="11" ht="68" customHeight="1">
      <x:c r="A11" s="24" t="str">
        <x:v>S06</x:v>
      </x:c>
      <x:c r="B11" s="24" t="str">
        <x:v>Sai_Rotbots 机器人登记</x:v>
      </x:c>
      <x:c r="C11" s="24" t="str">
        <x:v>https://github.com/sgyli7/Sai_Rotbots/blob/main/robots/catalog.json</x:v>
      </x:c>
      <x:c r="D11" s="24" t="str">
        <x:v>Sai_Rotbots</x:v>
      </x:c>
      <x:c r="E11" s="24" t="str">
        <x:v>2026-09-27</x:v>
      </x:c>
    </x:row>
    <x:row r="12" ht="68" customHeight="1">
      <x:c r="A12" s="24" t="str">
        <x:v>S07</x:v>
      </x:c>
      <x:c r="B12" s="24" t="str">
        <x:v>MicroDuck 项目参考</x:v>
      </x:c>
      <x:c r="C12" s="24" t="str">
        <x:v>https://github.com/pollen-robotics/microduck</x:v>
      </x:c>
      <x:c r="D12" s="24" t="str">
        <x:v>Pollen Robotics</x:v>
      </x:c>
      <x:c r="E12" s="24" t="str">
        <x:v>2026-09-27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5fb93b1c4c52480b"/>
  </x:tableParts>
</x:worksheet>
</file>