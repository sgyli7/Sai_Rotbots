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a1ec8319d849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阅读说明" sheetId="1" r:id="R75e5617045e24b73"/>
    <x:sheet xmlns:r="http://schemas.openxmlformats.org/officeDocument/2006/relationships" name="组件采购" sheetId="2" r:id="R01ad78e27f2a4bcb"/>
    <x:sheet xmlns:r="http://schemas.openxmlformats.org/officeDocument/2006/relationships" name="关节布局" sheetId="3" r:id="R71fa3c308a9646a7"/>
    <x:sheet xmlns:r="http://schemas.openxmlformats.org/officeDocument/2006/relationships" name="打印加工" sheetId="4" r:id="R1442b1b27d1b44fb"/>
    <x:sheet xmlns:r="http://schemas.openxmlformats.org/officeDocument/2006/relationships" name="来源" sheetId="5" r:id="Re53a1a9c231e42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.00;(&quot;$&quot;#,##0.00);&quot;$&quot;0.00"/>
    <x:numFmt numFmtId="201" formatCode="&quot;$&quot;#,##0.00"/>
  </x:numFmts>
  <x:fonts count="11">
    <x:font>
      <x:sz val="11"/>
      <x:name val="Carlito"/>
    </x:font>
    <x:font>
      <x:b/>
      <x:sz val="19"/>
      <x:color rgb="FFFFFFFF"/>
      <x:name val="Carlito"/>
    </x:font>
    <x:font>
      <x:sz val="10"/>
      <x:color rgb="FF263238"/>
      <x:name val="Carlito"/>
    </x:font>
    <x:font>
      <x:sz val="10"/>
      <x:color rgb="FF263238"/>
      <x:name val="Arial"/>
    </x:font>
    <x:font>
      <x:b/>
      <x:sz val="10"/>
      <x:color rgb="FFFFFFFF"/>
      <x:name val="Arial"/>
    </x:font>
    <x:font>
      <x:sz val="10"/>
      <x:color rgb="FF245ABD"/>
      <x:name val="Arial"/>
    </x:font>
    <x:font>
      <x:b/>
      <x:sz val="22"/>
      <x:color rgb="FFFFFFFF"/>
      <x:name val="Carlito"/>
    </x:font>
    <x:font>
      <x:sz val="11"/>
      <x:color rgb="FF263238"/>
      <x:name val="Carlito"/>
    </x:font>
    <x:font>
      <x:b/>
      <x:sz val="11"/>
      <x:color rgb="FFFFFFFF"/>
      <x:name val="Carlito"/>
    </x:font>
    <x:font>
      <x:b/>
      <x:sz val="17"/>
      <x:name val="Carlito"/>
    </x:font>
    <x:font>
      <x:b/>
      <x:sz val="11"/>
      <x:color rgb="FF26323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24323A"/>
      </x:patternFill>
    </x:fill>
    <x:fill>
      <x:patternFill patternType="solid">
        <x:fgColor rgb="FFFFF1E5"/>
      </x:patternFill>
    </x:fill>
    <x:fill>
      <x:patternFill patternType="solid">
        <x:fgColor rgb="FFE66B19"/>
      </x:patternFill>
    </x:fill>
    <x:fill>
      <x:patternFill patternType="solid">
        <x:fgColor rgb="FFF5F7F8"/>
      </x:patternFill>
    </x:fill>
    <x:fill>
      <x:patternFill patternType="solid">
        <x:fgColor rgb="FFF6F6F4"/>
      </x:patternFill>
    </x:fill>
    <x:fill>
      <x:patternFill patternType="solid">
        <x:fgColor rgb="FFFFF4CF"/>
      </x:patternFill>
    </x:fill>
    <x:fill>
      <x:patternFill patternType="solid">
        <x:fgColor rgb="FFF4F6F7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8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200" fontId="3" fillId="5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3" fillId="5" borderId="1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0" fillId="6" borderId="1" xfId="0" applyNumberFormat="1" applyFont="1" applyFill="1" applyBorder="1"/>
    <x:xf numFmtId="0" fontId="9" fillId="6" borderId="1" xfId="0" applyNumberFormat="1" applyFont="1" applyFill="1" applyBorder="1"/>
    <x:xf numFmtId="201" fontId="9" fillId="6" borderId="0" xfId="0" applyNumberFormat="1" applyFont="1" applyFill="1" applyBorder="1"/>
    <x:xf numFmtId="201" fontId="9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/>
    <x:xf numFmtId="0" fontId="7" fillId="8" borderId="1" xfId="0" applyNumberFormat="1" applyFont="1" applyFill="1" applyBorder="1"/>
    <x:xf numFmtId="0" fontId="7" fillId="8" borderId="1" xfId="0" applyNumberFormat="1" applyFont="1" applyFill="1" applyBorder="1" applyAlignment="1">
      <x:alignment wrapText="1"/>
    </x:xf>
    <x:xf numFmtId="0" fontId="7" fillId="8" borderId="1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vertical="center" wrapText="1"/>
    </x:xf>
    <x:xf numFmtId="0" fontId="10" fillId="8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/>
    <x:xf numFmtId="0" fontId="7" fillId="9" borderId="1" xfId="0" applyNumberFormat="1" applyFont="1" applyFill="1" applyBorder="1"/>
    <x:xf numFmtId="0" fontId="7" fillId="9" borderId="1" xfId="0" applyNumberFormat="1" applyFont="1" applyFill="1" applyBorder="1" applyAlignment="1">
      <x:alignment wrapText="1"/>
    </x:xf>
    <x:xf numFmtId="0" fontId="7" fillId="9" borderId="1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 applyAlignment="1">
      <x:alignment vertical="center" wrapText="1"/>
    </x:xf>
    <x:xf numFmtId="0" fontId="10" fillId="9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vertical="center"/>
    </x:xf>
    <x:xf numFmtId="201" fontId="9" fillId="6" borderId="0" xfId="0" applyNumberFormat="1" applyFont="1" applyFill="1" applyBorder="1" applyAlignment="1">
      <x:alignment vertical="center"/>
    </x:xf>
    <x:xf numFmtId="0" fontId="8" fillId="4" borderId="1" xfId="0" applyNumberFormat="1" applyFont="1" applyFill="1" applyBorder="1" applyAlignment="1">
      <x:alignment vertical="center" wrapText="1"/>
    </x:xf>
    <x:xf numFmtId="0" fontId="9" fillId="6" borderId="1" xfId="0" applyNumberFormat="1" applyFont="1" applyFill="1" applyBorder="1" applyAlignment="1">
      <x:alignment vertical="center"/>
    </x:xf>
    <x:xf numFmtId="201" fontId="9" fillId="6" borderId="1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horizontal="center" vertical="center"/>
    </x:xf>
    <x:xf numFmtId="201" fontId="9" fillId="6" borderId="0" xfId="0" applyNumberFormat="1" applyFont="1" applyFill="1" applyBorder="1" applyAlignment="1">
      <x:alignment horizontal="center" vertical="center"/>
    </x:xf>
    <x:xf numFmtId="0" fontId="9" fillId="6" borderId="1" xfId="0" applyNumberFormat="1" applyFont="1" applyFill="1" applyBorder="1" applyAlignment="1">
      <x:alignment horizontal="center" vertical="center"/>
    </x:xf>
    <x:xf numFmtId="201" fontId="9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 patternType="solid">
          <x:bgColor rgb="FFFEE2E2"/>
        </x:patternFill>
      </x:fill>
    </x:dxf>
    <x:dxf>
      <x:fill>
        <x:patternFill patternType="solid">
          <x:bgColor rgb="FFE7F2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927c38564b4e50" /><Relationship Type="http://schemas.openxmlformats.org/officeDocument/2006/relationships/theme" Target="/xl/theme/theme1.xml" Id="R65acf3812a5b40e2" /><Relationship Type="http://schemas.openxmlformats.org/officeDocument/2006/relationships/sharedStrings" Target="/xl/sharedStrings.xml" Id="R34f9110d7c224c77" /><Relationship Type="http://schemas.openxmlformats.org/officeDocument/2006/relationships/worksheet" Target="/xl/worksheets/sheet1.xml" Id="R75e5617045e24b73" /><Relationship Type="http://schemas.openxmlformats.org/officeDocument/2006/relationships/worksheet" Target="/xl/worksheets/sheet2.xml" Id="R01ad78e27f2a4bcb" /><Relationship Type="http://schemas.openxmlformats.org/officeDocument/2006/relationships/worksheet" Target="/xl/worksheets/sheet3.xml" Id="R71fa3c308a9646a7" /><Relationship Type="http://schemas.openxmlformats.org/officeDocument/2006/relationships/worksheet" Target="/xl/worksheets/sheet4.xml" Id="R1442b1b27d1b44fb" /><Relationship Type="http://schemas.openxmlformats.org/officeDocument/2006/relationships/worksheet" Target="/xl/worksheets/sheet5.xml" Id="Re53a1a9c231e42ee" /></Relationships>
</file>

<file path=xl/tables/table1.xml><?xml version="1.0" encoding="utf-8"?>
<x:table xmlns:x="http://schemas.openxmlformats.org/spreadsheetml/2006/main" id="1" name="Components" displayName="Components" ref="A6:N31" headerRowCount="1" totalsRowCount="0" totalsRowShown="0">
  <x:tableColumns count="14">
    <x:tableColumn id="1" name="编号"/>
    <x:tableColumn id="2" name="子系统"/>
    <x:tableColumn id="3" name="组件"/>
    <x:tableColumn id="4" name="候选型号/形式"/>
    <x:tableColumn id="5" name="整机暂配"/>
    <x:tableColumn id="6" name="单位"/>
    <x:tableColumn id="7" name="首批建议"/>
    <x:tableColumn id="8" name="状态"/>
    <x:tableColumn id="9" name="作用/规格"/>
    <x:tableColumn id="10" name="下单或放行条件"/>
    <x:tableColumn id="11" name="参考单价 USD"/>
    <x:tableColumn id="12" name="首批已报价小计 USD"/>
    <x:tableColumn id="13" name="官方资料/采购入口"/>
    <x:tableColumn id="14" name="来源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Joints" displayName="Joints" ref="A6:G24" headerRowCount="1" totalsRowCount="0" totalsRowShown="0">
  <x:tableColumns count="7">
    <x:tableColumn id="1" name="关节名"/>
    <x:tableColumn id="2" name="部位"/>
    <x:tableColumn id="3" name="运动轴"/>
    <x:tableColumn id="4" name="意图"/>
    <x:tableColumn id="5" name="候选执行器"/>
    <x:tableColumn id="6" name="工程状态"/>
    <x:tableColumn id="7" name="依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abrication" displayName="Fabrication" ref="A6:G18" headerRowCount="1" totalsRowCount="0" totalsRowShown="0">
  <x:tableColumns count="7">
    <x:tableColumn id="1" name="编号"/>
    <x:tableColumn id="2" name="零件组"/>
    <x:tableColumn id="3" name="暂配数量"/>
    <x:tableColumn id="4" name="单位"/>
    <x:tableColumn id="5" name="制造路线建议"/>
    <x:tableColumn id="6" name="结构重点"/>
    <x:tableColumn id="7" name="放行条件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" displayName="Sources" ref="A6:E20" headerRowCount="1" totalsRowCount="0" totalsRowShown="0">
  <x:tableColumns count="5">
    <x:tableColumn id="1" name="ID"/>
    <x:tableColumn id="2" name="来源"/>
    <x:tableColumn id="3" name="URL"/>
    <x:tableColumn id="4" name="已核对内容/限制"/>
    <x:tableColumn id="5" name="核查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2bb9b8179c40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09d9620c5a45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125c5597c547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0d89a983624e63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0" hidden="0" customWidth="1"/>
    <x:col min="3" max="3" width="25" hidden="0" customWidth="1"/>
    <x:col min="4" max="4" width="25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4" customHeight="1">
      <x:c r="A1" s="74" t="str">
        <x:v>Goose_V0.1  /  Walker Goose</x:v>
      </x:c>
      <x:c r="B1" s="74"/>
      <x:c r="C1" s="74"/>
      <x:c r="D1" s="74"/>
      <x:c r="E1" s="74"/>
      <x:c r="F1" s="74"/>
      <x:c r="G1" s="74"/>
      <x:c r="H1" s="74"/>
    </x:row>
    <x:row r="2" ht="24" customHeight="1">
      <x:c r="A2" s="74"/>
      <x:c r="B2" s="74"/>
      <x:c r="C2" s="74"/>
      <x:c r="D2" s="74"/>
      <x:c r="E2" s="74"/>
      <x:c r="F2" s="74"/>
      <x:c r="G2" s="74"/>
      <x:c r="H2" s="74"/>
    </x:row>
    <x:row r="3" ht="24" customHeight="1">
      <x:c r="A3" s="75" t="str">
        <x:v>结构、组件与候选采购清单 · B 步行鹅 · 2026-09-27
可爱外观已选定；制造尺寸、负载、供电和执行器尚待工程验证。</x:v>
      </x:c>
      <x:c r="B3" s="75"/>
      <x:c r="C3" s="75"/>
      <x:c r="D3" s="75"/>
      <x:c r="E3" s="75"/>
      <x:c r="F3" s="75"/>
      <x:c r="G3" s="75"/>
      <x:c r="H3" s="75"/>
    </x:row>
    <x:row r="4" ht="24" customHeight="1">
      <x:c r="A4" s="75"/>
      <x:c r="B4" s="75"/>
      <x:c r="C4" s="75"/>
      <x:c r="D4" s="75"/>
      <x:c r="E4" s="75"/>
      <x:c r="F4" s="75"/>
      <x:c r="G4" s="75"/>
      <x:c r="H4" s="75"/>
    </x:row>
    <x:row r="6" ht="36" customHeight="1">
      <x:c r="A6" s="78" t="str">
        <x:v>候选关节总数</x:v>
      </x:c>
      <x:c r="B6" s="78" t="str">
        <x:v>18轴方案执行器分配</x:v>
      </x:c>
      <x:c r="C6" s="78" t="str">
        <x:v>首批已报价部分 USD</x:v>
      </x:c>
      <x:c r="D6" s="78" t="str">
        <x:v>首批待询价项目数</x:v>
      </x:c>
    </x:row>
    <x:row r="7" ht="42" customHeight="1">
      <x:c r="A7" s="84" t="n">
        <x:f>COUNTA('关节布局'!A7:A24)</x:f>
        <x:v>18</x:v>
      </x:c>
      <x:c r="B7" s="84" t="str">
        <x:f>'组件采购'!E7&amp;" XC330 + "&amp;'组件采购'!E8&amp;" XL330"</x:f>
        <x:v>12 XC330 + 6 XL330</x:v>
      </x:c>
      <x:c r="C7" s="85" t="n">
        <x:f>SUM('组件采购'!L7:L31)</x:f>
        <x:v>341.01</x:v>
      </x:c>
      <x:c r="D7" s="84" t="n">
        <x:f>COUNT('组件采购'!G7:G31)-COUNT('组件采购'!L7:L31)</x:f>
        <x:v>14</x:v>
      </x:c>
    </x:row>
    <x:row r="9" ht="25" customHeight="1">
      <x:c r="A9" s="88" t="str">
        <x:v>金额提示：上方只是“已有公开单价的首批样件”小计，遗漏空白单价项目。不是首批完整预算，更不是整机总价。未确认库存与中国到手价格。</x:v>
      </x:c>
      <x:c r="B9" s="88"/>
      <x:c r="C9" s="88"/>
      <x:c r="D9" s="88"/>
      <x:c r="E9" s="88"/>
      <x:c r="F9" s="88"/>
      <x:c r="G9" s="88"/>
      <x:c r="H9" s="88"/>
    </x:row>
    <x:row r="10" ht="25" customHeight="1">
      <x:c r="A10" s="88"/>
      <x:c r="B10" s="88"/>
      <x:c r="C10" s="88"/>
      <x:c r="D10" s="88"/>
      <x:c r="E10" s="88"/>
      <x:c r="F10" s="88"/>
      <x:c r="G10" s="88"/>
      <x:c r="H10" s="88"/>
    </x:row>
    <x:row r="12" ht="45" customHeight="1">
      <x:c r="A12" s="62" t="str">
        <x:v>使用顺序</x:v>
      </x:c>
      <x:c r="B12" s="57" t="str">
        <x:v>先阅读结构说明，再看“关节布局”；“组件采购”的整机暂配量用于报价和质量估算，首批建议量用于台架。</x:v>
      </x:c>
      <x:c r="C12" s="57"/>
      <x:c r="D12" s="57"/>
      <x:c r="E12" s="57"/>
      <x:c r="F12" s="57"/>
      <x:c r="G12" s="57"/>
      <x:c r="H12" s="57"/>
    </x:row>
    <x:row r="13" ht="45" customHeight="1">
      <x:c r="A13" s="72" t="str">
        <x:v>已选外观</x:v>
      </x:c>
      <x:c r="B13" s="67" t="str">
        <x:v>白色圆润躯干、长颈、橙色嘴夹、双足宽脚掌；保留当前B路线，不把轮式方案带回本稿。</x:v>
      </x:c>
      <x:c r="C13" s="67"/>
      <x:c r="D13" s="67"/>
      <x:c r="E13" s="67"/>
      <x:c r="F13" s="67"/>
      <x:c r="G13" s="67"/>
      <x:c r="H13" s="67"/>
    </x:row>
    <x:row r="14" ht="45" customHeight="1">
      <x:c r="A14" s="62" t="str">
        <x:v>原图纠正</x:v>
      </x:c>
      <x:c r="B14" s="57" t="str">
        <x:v>每腿应按5轴研究，不是图上的3轴。55cm、6–8kg、2–4小时、0.2–0.5kg没有工程依据，不作为本稿规格。</x:v>
      </x:c>
      <x:c r="C14" s="57"/>
      <x:c r="D14" s="57"/>
      <x:c r="E14" s="57"/>
      <x:c r="F14" s="57"/>
      <x:c r="G14" s="57"/>
      <x:c r="H14" s="57"/>
    </x:row>
    <x:row r="15" ht="45" customHeight="1">
      <x:c r="A15" s="72" t="str">
        <x:v>机载计算</x:v>
      </x:c>
      <x:c r="B15" s="67" t="str">
        <x:v>优先Radxa ZERO 3W轻型路线；图中的Jetson仅为概念占位，不列入默认采购。</x:v>
      </x:c>
      <x:c r="C15" s="67"/>
      <x:c r="D15" s="67"/>
      <x:c r="E15" s="67"/>
      <x:c r="F15" s="67"/>
      <x:c r="G15" s="67"/>
      <x:c r="H15" s="67"/>
    </x:row>
    <x:row r="16" ht="45" customHeight="1">
      <x:c r="A16" s="62" t="str">
        <x:v>头部与感知</x:v>
      </x:c>
      <x:c r="B16" s="57" t="str">
        <x:v>RGB相机+单轴嘴夹为基础；ToF和音频可选。IMU安装在躯干刚性结构，不与活动头部坐标混淆。</x:v>
      </x:c>
      <x:c r="C16" s="57"/>
      <x:c r="D16" s="57"/>
      <x:c r="E16" s="57"/>
      <x:c r="F16" s="57"/>
      <x:c r="G16" s="57"/>
      <x:c r="H16" s="57"/>
    </x:row>
    <x:row r="17" ht="45" customHeight="1">
      <x:c r="A17" s="72" t="str">
        <x:v>执行器边界</x:v>
      </x:c>
      <x:c r="B17" s="67" t="str">
        <x:v>XC330-M288-T与XL330-M288-T按推荐5V路线验证；堵转扭矩不是持续额定扭矩。不能据此承诺支撑55cm/6–8kg。</x:v>
      </x:c>
      <x:c r="C17" s="67"/>
      <x:c r="D17" s="67"/>
      <x:c r="E17" s="67"/>
      <x:c r="F17" s="67"/>
      <x:c r="G17" s="67"/>
      <x:c r="H17" s="67"/>
    </x:row>
    <x:row r="18" ht="45" customHeight="1">
      <x:c r="A18" s="62" t="str">
        <x:v>供电边界</x:v>
      </x:c>
      <x:c r="B18" s="57" t="str">
        <x:v>U2D2仅通信。电池不得直接按2S/3S电压接入5V舵机；分支电源、保护、线径、回灌与温升需另行核验。</x:v>
      </x:c>
      <x:c r="C18" s="57"/>
      <x:c r="D18" s="57"/>
      <x:c r="E18" s="57"/>
      <x:c r="F18" s="57"/>
      <x:c r="G18" s="57"/>
      <x:c r="H18" s="57"/>
    </x:row>
    <x:row r="19" ht="45" customHeight="1">
      <x:c r="A19" s="72" t="str">
        <x:v>机构制造</x:v>
      </x:c>
      <x:c r="B19" s="67" t="str">
        <x:v>打印外壳不等于可打印整机；承力内框、舵盘、轴、轴承、软垫与线束必须有来源和实物尺寸。</x:v>
      </x:c>
      <x:c r="C19" s="67"/>
      <x:c r="D19" s="67"/>
      <x:c r="E19" s="67"/>
      <x:c r="F19" s="67"/>
      <x:c r="G19" s="67"/>
      <x:c r="H19" s="67"/>
    </x:row>
    <x:row r="20" ht="45" customHeight="1">
      <x:c r="A20" s="62" t="str">
        <x:v>软件接口</x:v>
      </x:c>
      <x:c r="B20" s="57" t="str">
        <x:v>18执行器结构不同于MicroDuck原生15执行器；原有14动作/61观测不能直接当Goose兼容权重。</x:v>
      </x:c>
      <x:c r="C20" s="57"/>
      <x:c r="D20" s="57"/>
      <x:c r="E20" s="57"/>
      <x:c r="F20" s="57"/>
      <x:c r="G20" s="57"/>
      <x:c r="H20" s="57"/>
    </x:row>
    <x:row r="21" ht="45" customHeight="1">
      <x:c r="A21" s="72" t="str">
        <x:v>当前交付范围</x:v>
      </x:c>
      <x:c r="B21" s="67" t="str">
        <x:v>原图重发、结构说明、候选BOM、打印加工目录、来源登记；没有购买、提交仓库或完成实机验证。</x:v>
      </x:c>
      <x:c r="C21" s="67"/>
      <x:c r="D21" s="67"/>
      <x:c r="E21" s="67"/>
      <x:c r="F21" s="67"/>
      <x:c r="G21" s="67"/>
      <x:c r="H21" s="67"/>
    </x:row>
  </x:sheetData>
  <x:mergeCells>
    <x:mergeCell ref="A1:H2"/>
    <x:mergeCell ref="A3:H4"/>
    <x:mergeCell ref="A9:H10"/>
    <x:mergeCell ref="B12:H12"/>
    <x:mergeCell ref="B13:H13"/>
    <x:mergeCell ref="B14:H14"/>
    <x:mergeCell ref="B15:H15"/>
    <x:mergeCell ref="B16:H16"/>
    <x:mergeCell ref="B17:H17"/>
    <x:mergeCell ref="B18:H18"/>
    <x:mergeCell ref="B19:H19"/>
    <x:mergeCell ref="B20:H20"/>
    <x:mergeCell ref="B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3" hidden="0" customWidth="1"/>
    <x:col min="4" max="4" width="35" hidden="0" customWidth="1"/>
    <x:col min="5" max="5" width="10" hidden="0" customWidth="1"/>
    <x:col min="6" max="6" width="7" hidden="0" customWidth="1"/>
    <x:col min="7" max="7" width="10" hidden="0" customWidth="1"/>
    <x:col min="8" max="8" width="12" hidden="0" customWidth="1"/>
    <x:col min="9" max="9" width="37" hidden="0" customWidth="1"/>
    <x:col min="10" max="10" width="44" hidden="0" customWidth="1"/>
    <x:col min="11" max="11" width="14" hidden="0" customWidth="1"/>
    <x:col min="12" max="12" width="17" hidden="0" customWidth="1"/>
    <x:col min="13" max="13" width="42" hidden="0" customWidth="1"/>
    <x:col min="14" max="14" width="12" hidden="0" customWidth="1"/>
  </x:cols>
  <x:sheetData>
    <x:row r="1" ht="22" customHeight="1">
      <x:c r="A1" s="3" t="str">
        <x:v>Goose_V0.1  |  组件与候选采购清单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22" customHeight="1">
      <x:c r="A3" s="8" t="str">
        <x:v>路线：B 步行鹅。整机数量是占位分配，不是下单数量；首批数量是台架建议。美元价格为2026-09-27可检索参考价，不含税、运费；空白=待询价。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4" ht="22" customHeight="1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</x:row>
    <x:row r="6" ht="34" customHeight="1">
      <x:c r="A6" s="19" t="str">
        <x:v>编号</x:v>
      </x:c>
      <x:c r="B6" s="19" t="str">
        <x:v>子系统</x:v>
      </x:c>
      <x:c r="C6" s="19" t="str">
        <x:v>组件</x:v>
      </x:c>
      <x:c r="D6" s="19" t="str">
        <x:v>候选型号/形式</x:v>
      </x:c>
      <x:c r="E6" s="19" t="str">
        <x:v>整机暂配</x:v>
      </x:c>
      <x:c r="F6" s="19" t="str">
        <x:v>单位</x:v>
      </x:c>
      <x:c r="G6" s="19" t="str">
        <x:v>首批建议</x:v>
      </x:c>
      <x:c r="H6" s="19" t="str">
        <x:v>状态</x:v>
      </x:c>
      <x:c r="I6" s="19" t="str">
        <x:v>作用/规格</x:v>
      </x:c>
      <x:c r="J6" s="19" t="str">
        <x:v>下单或放行条件</x:v>
      </x:c>
      <x:c r="K6" s="19" t="str">
        <x:v>参考单价 USD</x:v>
      </x:c>
      <x:c r="L6" s="19" t="str">
        <x:v>首批已报价小计 USD</x:v>
      </x:c>
      <x:c r="M6" s="19" t="str">
        <x:v>官方资料/采购入口</x:v>
      </x:c>
      <x:c r="N6" s="19" t="str">
        <x:v>来源ID</x:v>
      </x:c>
    </x:row>
    <x:row r="7" ht="72" customHeight="1">
      <x:c r="A7" s="22" t="str">
        <x:v>A01</x:v>
      </x:c>
      <x:c r="B7" s="22" t="str">
        <x:v>运动</x:v>
      </x:c>
      <x:c r="C7" s="22" t="str">
        <x:v>腿部及重载颈轴执行器</x:v>
      </x:c>
      <x:c r="D7" s="22" t="str">
        <x:v>ROBOTIS XC330-M288-T</x:v>
      </x:c>
      <x:c r="E7" s="28" t="n">
        <x:f>COUNTIF('关节布局'!E7:E24,"XC330-M288-T")</x:f>
        <x:v>12</x:v>
      </x:c>
      <x:c r="F7" s="28" t="str">
        <x:v>个</x:v>
      </x:c>
      <x:c r="G7" s="28" t="n">
        <x:v>2</x:v>
      </x:c>
      <x:c r="H7" s="22" t="str">
        <x:v>先样件</x:v>
      </x:c>
      <x:c r="I7" s="22" t="str">
        <x:v>10腿轴+2颈俯仰轴；数量仅候选分配</x:v>
      </x:c>
      <x:c r="J7" s="22" t="str">
        <x:v>先核算/实测持续力矩、步态速度、温升；不适用于已承诺的55cm/6–8kg整机</x:v>
      </x:c>
      <x:c r="K7" s="24" t="n">
        <x:v>103.39</x:v>
      </x:c>
      <x:c r="L7" s="24" t="n">
        <x:f>IF(G7=0,0,IF(ISNUMBER(K7),G7*K7,""))</x:f>
        <x:v>206.78</x:v>
      </x:c>
      <x:c r="M7" s="22" t="str">
        <x:v>https://emanual.robotis.com/docs/en/dxl/x/xc330-m288/ | https://www.robotis.us/dynamixel-xc330-m288-t/</x:v>
      </x:c>
      <x:c r="N7" s="22" t="str">
        <x:v>S04;S13</x:v>
      </x:c>
    </x:row>
    <x:row r="8" ht="72" customHeight="1">
      <x:c r="A8" s="14" t="str">
        <x:v>A02</x:v>
      </x:c>
      <x:c r="B8" s="14" t="str">
        <x:v>运动</x:v>
      </x:c>
      <x:c r="C8" s="14" t="str">
        <x:v>轻载颈头与嘴夹执行器</x:v>
      </x:c>
      <x:c r="D8" s="14" t="str">
        <x:v>ROBOTIS XL330-M288-T</x:v>
      </x:c>
      <x:c r="E8" s="29" t="n">
        <x:f>COUNTIF('关节布局'!E7:E24,"XL330-M288-T")</x:f>
        <x:v>6</x:v>
      </x:c>
      <x:c r="F8" s="29" t="str">
        <x:v>个</x:v>
      </x:c>
      <x:c r="G8" s="29" t="n">
        <x:v>2</x:v>
      </x:c>
      <x:c r="H8" s="14" t="str">
        <x:v>先样件</x:v>
      </x:c>
      <x:c r="I8" s="14" t="str">
        <x:v>5颈头轴+1嘴夹；18 g/个</x:v>
      </x:c>
      <x:c r="J8" s="14" t="str">
        <x:v>额外头颈质量需反算上游负载；完整7R尚未验证</x:v>
      </x:c>
      <x:c r="K8" s="25"/>
      <x:c r="L8" s="25" t="str">
        <x:f>IF(G8=0,0,IF(ISNUMBER(K8),G8*K8,""))</x:f>
      </x:c>
      <x:c r="M8" s="14" t="str">
        <x:v>https://emanual.robotis.com/docs/en/dxl/x/xl330-m288/</x:v>
      </x:c>
      <x:c r="N8" s="14" t="str">
        <x:v>S03</x:v>
      </x:c>
    </x:row>
    <x:row r="9" ht="72" customHeight="1">
      <x:c r="A9" s="22" t="str">
        <x:v>E01</x:v>
      </x:c>
      <x:c r="B9" s="22" t="str">
        <x:v>计算</x:v>
      </x:c>
      <x:c r="C9" s="22" t="str">
        <x:v>机载主控</x:v>
      </x:c>
      <x:c r="D9" s="22" t="str">
        <x:v>Radxa ZERO 3W，建议2GB及板载eMMC版本</x:v>
      </x:c>
      <x:c r="E9" s="28" t="n">
        <x:v>1</x:v>
      </x:c>
      <x:c r="F9" s="28" t="str">
        <x:v>块</x:v>
      </x:c>
      <x:c r="G9" s="28" t="n">
        <x:v>1</x:v>
      </x:c>
      <x:c r="H9" s="22" t="str">
        <x:v>先样件</x:v>
      </x:c>
      <x:c r="I9" s="22" t="str">
        <x:v>优先轻型主控；65×30mm；容量为本轮建议</x:v>
      </x:c>
      <x:c r="J9" s="22" t="str">
        <x:v>核对具体SKU、USB、电源、板卡尺寸与ONNX时延</x:v>
      </x:c>
      <x:c r="K9" s="24"/>
      <x:c r="L9" s="24" t="str">
        <x:f>IF(G9=0,0,IF(ISNUMBER(K9),G9*K9,""))</x:f>
      </x:c>
      <x:c r="M9" s="22" t="str">
        <x:v>https://docs.radxa.com/en/zero/zero3</x:v>
      </x:c>
      <x:c r="N9" s="22" t="str">
        <x:v>S05</x:v>
      </x:c>
    </x:row>
    <x:row r="10" ht="72" customHeight="1">
      <x:c r="A10" s="14" t="str">
        <x:v>E02</x:v>
      </x:c>
      <x:c r="B10" s="14" t="str">
        <x:v>总线</x:v>
      </x:c>
      <x:c r="C10" s="14" t="str">
        <x:v>舵机通信转换器</x:v>
      </x:c>
      <x:c r="D10" s="14" t="str">
        <x:v>ROBOTIS U2D2</x:v>
      </x:c>
      <x:c r="E10" s="29" t="n">
        <x:v>1</x:v>
      </x:c>
      <x:c r="F10" s="29" t="str">
        <x:v>个</x:v>
      </x:c>
      <x:c r="G10" s="29" t="n">
        <x:v>1</x:v>
      </x:c>
      <x:c r="H10" s="14" t="str">
        <x:v>先样件</x:v>
      </x:c>
      <x:c r="I10" s="14" t="str">
        <x:v>USB到DYNAMIXEL；不供舵机电源</x:v>
      </x:c>
      <x:c r="J10" s="14" t="str">
        <x:v>配置驱动/端口并实测读写时序；不能直接套原版串口程序</x:v>
      </x:c>
      <x:c r="K10" s="25" t="n">
        <x:v>36.92</x:v>
      </x:c>
      <x:c r="L10" s="25" t="n">
        <x:f>IF(G10=0,0,IF(ISNUMBER(K10),G10*K10,""))</x:f>
        <x:v>36.92</x:v>
      </x:c>
      <x:c r="M10" s="14" t="str">
        <x:v>https://emanual.robotis.com/docs/en/parts/interface/u2d2/ | https://robotis.us/products/u2d2</x:v>
      </x:c>
      <x:c r="N10" s="14" t="str">
        <x:v>S06;S12</x:v>
      </x:c>
    </x:row>
    <x:row r="11" ht="72" customHeight="1">
      <x:c r="A11" s="22" t="str">
        <x:v>E03</x:v>
      </x:c>
      <x:c r="B11" s="22" t="str">
        <x:v>总线</x:v>
      </x:c>
      <x:c r="C11" s="22" t="str">
        <x:v>USB扩展</x:v>
      </x:c>
      <x:c r="D11" s="22" t="str">
        <x:v>两口以上USB Hub，具体型号待选</x:v>
      </x:c>
      <x:c r="E11" s="28" t="n">
        <x:v>1</x:v>
      </x:c>
      <x:c r="F11" s="28" t="str">
        <x:v>个</x:v>
      </x:c>
      <x:c r="G11" s="28" t="n">
        <x:v>1</x:v>
      </x:c>
      <x:c r="H11" s="22" t="str">
        <x:v>待选型</x:v>
      </x:c>
      <x:c r="I11" s="22" t="str">
        <x:v>相机和U2D2都需要USB主机连接</x:v>
      </x:c>
      <x:c r="J11" s="22" t="str">
        <x:v>同时验证UVC视频与串口；核对供电和反向灌电</x:v>
      </x:c>
      <x:c r="K11" s="24"/>
      <x:c r="L11" s="24" t="str">
        <x:f>IF(G11=0,0,IF(ISNUMBER(K11),G11*K11,""))</x:f>
      </x:c>
      <x:c r="M11" s="22" t="str">
        <x:v>https://docs.radxa.com/en/zero/zero3 | https://emanual.robotis.com/docs/en/parts/interface/u2d2/ | https://www.arducam.com/arducam-usb-autofocus-imx219-b0292.html</x:v>
      </x:c>
      <x:c r="N11" s="22" t="str">
        <x:v>S05;S06;S07</x:v>
      </x:c>
    </x:row>
    <x:row r="12" ht="72" customHeight="1">
      <x:c r="A12" s="14" t="str">
        <x:v>S01</x:v>
      </x:c>
      <x:c r="B12" s="14" t="str">
        <x:v>感知</x:v>
      </x:c>
      <x:c r="C12" s="14" t="str">
        <x:v>头部主相机</x:v>
      </x:c>
      <x:c r="D12" s="14" t="str">
        <x:v>Arducam B0292</x:v>
      </x:c>
      <x:c r="E12" s="29" t="n">
        <x:v>1</x:v>
      </x:c>
      <x:c r="F12" s="29" t="str">
        <x:v>个</x:v>
      </x:c>
      <x:c r="G12" s="29" t="n">
        <x:v>1</x:v>
      </x:c>
      <x:c r="H12" s="14" t="str">
        <x:v>先样件</x:v>
      </x:c>
      <x:c r="I12" s="14" t="str">
        <x:v>USB UVC自动对焦RGB相机；不是RGB-D</x:v>
      </x:c>
      <x:c r="J12" s="14" t="str">
        <x:v>测试最近工作距离、夹爪遮挡、视频延迟与头部实重</x:v>
      </x:c>
      <x:c r="K12" s="25" t="n">
        <x:v>34.99</x:v>
      </x:c>
      <x:c r="L12" s="25" t="n">
        <x:f>IF(G12=0,0,IF(ISNUMBER(K12),G12*K12,""))</x:f>
        <x:v>34.99</x:v>
      </x:c>
      <x:c r="M12" s="14" t="str">
        <x:v>https://www.arducam.com/arducam-usb-autofocus-imx219-b0292.html</x:v>
      </x:c>
      <x:c r="N12" s="14" t="str">
        <x:v>S07</x:v>
      </x:c>
    </x:row>
    <x:row r="13" ht="72" customHeight="1">
      <x:c r="A13" s="22" t="str">
        <x:v>S02</x:v>
      </x:c>
      <x:c r="B13" s="22" t="str">
        <x:v>感知</x:v>
      </x:c>
      <x:c r="C13" s="22" t="str">
        <x:v>躯干IMU</x:v>
      </x:c>
      <x:c r="D13" s="22" t="str">
        <x:v>SparkFun SEN-21336 / LSM6DSV16X</x:v>
      </x:c>
      <x:c r="E13" s="28" t="n">
        <x:v>1</x:v>
      </x:c>
      <x:c r="F13" s="28" t="str">
        <x:v>块</x:v>
      </x:c>
      <x:c r="G13" s="28" t="n">
        <x:v>1</x:v>
      </x:c>
      <x:c r="H13" s="22" t="str">
        <x:v>先样件</x:v>
      </x:c>
      <x:c r="I13" s="22" t="str">
        <x:v>3.3V I2C路线，固定在躯干刚性内框</x:v>
      </x:c>
      <x:c r="J13" s="22" t="str">
        <x:v>需时间戳/姿态估计/驱动适配；非MicroDuck imu_to_dxl替换件</x:v>
      </x:c>
      <x:c r="K13" s="24" t="n">
        <x:v>25.5</x:v>
      </x:c>
      <x:c r="L13" s="24" t="n">
        <x:f>IF(G13=0,0,IF(ISNUMBER(K13),G13*K13,""))</x:f>
        <x:v>25.5</x:v>
      </x:c>
      <x:c r="M13" s="22" t="str">
        <x:v>https://www.sparkfun.com/sparkfun-micro-6dof-imu-breakout-lsm6dsv16x-qwiic.html | https://github.com/pollen-robotics/microduck/blob/main/docs/design/robotd-design.md</x:v>
      </x:c>
      <x:c r="N13" s="22" t="str">
        <x:v>S08;S14</x:v>
      </x:c>
    </x:row>
    <x:row r="14" ht="72" customHeight="1">
      <x:c r="A14" s="14" t="str">
        <x:v>S03</x:v>
      </x:c>
      <x:c r="B14" s="14" t="str">
        <x:v>感知</x:v>
      </x:c>
      <x:c r="C14" s="14" t="str">
        <x:v>近距ToF（可选）</x:v>
      </x:c>
      <x:c r="D14" s="14" t="str">
        <x:v>Pololu #3417 / VL53L5CX</x:v>
      </x:c>
      <x:c r="E14" s="29" t="n">
        <x:v>0</x:v>
      </x:c>
      <x:c r="F14" s="29" t="str">
        <x:v>块</x:v>
      </x:c>
      <x:c r="G14" s="29" t="n">
        <x:v>0</x:v>
      </x:c>
      <x:c r="H14" s="14" t="str">
        <x:v>可选</x:v>
      </x:c>
      <x:c r="I14" s="14" t="str">
        <x:v>需要时1块；8×8低分辨率测距</x:v>
      </x:c>
      <x:c r="J14" s="14" t="str">
        <x:v>先验证RGB方案；不等同精密抓取深度相机；3.3V主机需匹配I2C电平</x:v>
      </x:c>
      <x:c r="K14" s="25" t="n">
        <x:v>19.95</x:v>
      </x:c>
      <x:c r="L14" s="25" t="n">
        <x:f>IF(G14=0,0,IF(ISNUMBER(K14),G14*K14,""))</x:f>
        <x:v>0</x:v>
      </x:c>
      <x:c r="M14" s="14" t="str">
        <x:v>https://www.pololu.com/product/3417</x:v>
      </x:c>
      <x:c r="N14" s="14" t="str">
        <x:v>S09</x:v>
      </x:c>
    </x:row>
    <x:row r="15" ht="72" customHeight="1">
      <x:c r="A15" s="22" t="str">
        <x:v>S04</x:v>
      </x:c>
      <x:c r="B15" s="22" t="str">
        <x:v>交互</x:v>
      </x:c>
      <x:c r="C15" s="22" t="str">
        <x:v>状态灯与导光件</x:v>
      </x:c>
      <x:c r="D15" s="22" t="str">
        <x:v>低功耗LED、驱动限流及打印导光结构</x:v>
      </x:c>
      <x:c r="E15" s="28" t="n">
        <x:v>1</x:v>
      </x:c>
      <x:c r="F15" s="28" t="str">
        <x:v>套</x:v>
      </x:c>
      <x:c r="G15" s="28" t="n">
        <x:v>0</x:v>
      </x:c>
      <x:c r="H15" s="22" t="str">
        <x:v>待选型</x:v>
      </x:c>
      <x:c r="I15" s="22" t="str">
        <x:v>表示运行/故障/使能状态</x:v>
      </x:c>
      <x:c r="J15" s="22" t="str">
        <x:v>灯不与镜头混淆；具体电路和安装面待定</x:v>
      </x:c>
      <x:c r="K15" s="24"/>
      <x:c r="L15" s="24" t="n">
        <x:f>IF(G15=0,0,IF(ISNUMBER(K15),G15*K15,""))</x:f>
        <x:v>0</x:v>
      </x:c>
      <x:c r="M15" s="22" t="str">
        <x:v>本轮设计建议，非厂商参数</x:v>
      </x:c>
      <x:c r="N15" s="22" t="str">
        <x:v>设计建议</x:v>
      </x:c>
    </x:row>
    <x:row r="16" ht="72" customHeight="1">
      <x:c r="A16" s="14" t="str">
        <x:v>S05</x:v>
      </x:c>
      <x:c r="B16" s="14" t="str">
        <x:v>交互</x:v>
      </x:c>
      <x:c r="C16" s="14" t="str">
        <x:v>音频模块（可选）</x:v>
      </x:c>
      <x:c r="D16" s="14" t="str">
        <x:v>小扬声器+功放；麦克风仅按任务需要</x:v>
      </x:c>
      <x:c r="E16" s="29" t="n">
        <x:v>0</x:v>
      </x:c>
      <x:c r="F16" s="29" t="str">
        <x:v>套</x:v>
      </x:c>
      <x:c r="G16" s="29" t="n">
        <x:v>0</x:v>
      </x:c>
      <x:c r="H16" s="14" t="str">
        <x:v>可选</x:v>
      </x:c>
      <x:c r="I16" s="14" t="str">
        <x:v>预留鹅叫/提示音的可能性</x:v>
      </x:c>
      <x:c r="J16" s="14" t="str">
        <x:v>不属于抓取闭环的首批采购；型号和接口未选定</x:v>
      </x:c>
      <x:c r="K16" s="25"/>
      <x:c r="L16" s="25" t="n">
        <x:f>IF(G16=0,0,IF(ISNUMBER(K16),G16*K16,""))</x:f>
        <x:v>0</x:v>
      </x:c>
      <x:c r="M16" s="14" t="str">
        <x:v>本轮设计建议，非厂商参数</x:v>
      </x:c>
      <x:c r="N16" s="14" t="str">
        <x:v>设计建议</x:v>
      </x:c>
    </x:row>
    <x:row r="17" ht="72" customHeight="1">
      <x:c r="A17" s="22" t="str">
        <x:v>P01</x:v>
      </x:c>
      <x:c r="B17" s="22" t="str">
        <x:v>供电</x:v>
      </x:c>
      <x:c r="C17" s="22" t="str">
        <x:v>可拆电池包</x:v>
      </x:c>
      <x:c r="D17" s="22" t="str">
        <x:v>带保护的成品电池包，串数/容量/接口待选</x:v>
      </x:c>
      <x:c r="E17" s="28" t="n">
        <x:v>1</x:v>
      </x:c>
      <x:c r="F17" s="28" t="str">
        <x:v>组</x:v>
      </x:c>
      <x:c r="G17" s="28" t="n">
        <x:v>0</x:v>
      </x:c>
      <x:c r="H17" s="22" t="str">
        <x:v>暂缓</x:v>
      </x:c>
      <x:c r="I17" s="22" t="str">
        <x:v>尽量低置靠近髋部；可维护插拔</x:v>
      </x:c>
      <x:c r="J17" s="22" t="str">
        <x:v>按整机峰值/均方根电流与质量选型；NP-F外形不代表放电能力够用</x:v>
      </x:c>
      <x:c r="K17" s="24"/>
      <x:c r="L17" s="24" t="n">
        <x:f>IF(G17=0,0,IF(ISNUMBER(K17),G17*K17,""))</x:f>
        <x:v>0</x:v>
      </x:c>
      <x:c r="M17" s="22" t="str">
        <x:v>https://store.pollen-robotics.com/products/microduck</x:v>
      </x:c>
      <x:c r="N17" s="22" t="str">
        <x:v>设计建议;S11</x:v>
      </x:c>
    </x:row>
    <x:row r="18" ht="72" customHeight="1">
      <x:c r="A18" s="14" t="str">
        <x:v>P02</x:v>
      </x:c>
      <x:c r="B18" s="14" t="str">
        <x:v>供电</x:v>
      </x:c>
      <x:c r="C18" s="14" t="str">
        <x:v>匹配充电器</x:v>
      </x:c>
      <x:c r="D18" s="14" t="str">
        <x:v>与最终电芯化学体系及串数匹配的成品充电器</x:v>
      </x:c>
      <x:c r="E18" s="29" t="n">
        <x:v>1</x:v>
      </x:c>
      <x:c r="F18" s="29" t="str">
        <x:v>个</x:v>
      </x:c>
      <x:c r="G18" s="29" t="n">
        <x:v>0</x:v>
      </x:c>
      <x:c r="H18" s="14" t="str">
        <x:v>暂缓</x:v>
      </x:c>
      <x:c r="I18" s="14" t="str">
        <x:v>配套充电</x:v>
      </x:c>
      <x:c r="J18" s="14" t="str">
        <x:v>电池SKU冻结后一起购买</x:v>
      </x:c>
      <x:c r="K18" s="25"/>
      <x:c r="L18" s="25" t="n">
        <x:f>IF(G18=0,0,IF(ISNUMBER(K18),G18*K18,""))</x:f>
        <x:v>0</x:v>
      </x:c>
      <x:c r="M18" s="14" t="str">
        <x:v>本轮设计建议，非厂商参数</x:v>
      </x:c>
      <x:c r="N18" s="14" t="str">
        <x:v>设计建议</x:v>
      </x:c>
    </x:row>
    <x:row r="19" ht="72" customHeight="1">
      <x:c r="A19" s="22" t="str">
        <x:v>P03</x:v>
      </x:c>
      <x:c r="B19" s="22" t="str">
        <x:v>供电</x:v>
      </x:c>
      <x:c r="C19" s="22" t="str">
        <x:v>整机电源分配</x:v>
      </x:c>
      <x:c r="D19" s="22" t="str">
        <x:v>分支降压、保险、防反接、断电器件及连接器</x:v>
      </x:c>
      <x:c r="E19" s="28" t="n">
        <x:v>1</x:v>
      </x:c>
      <x:c r="F19" s="28" t="str">
        <x:v>套</x:v>
      </x:c>
      <x:c r="G19" s="28" t="n">
        <x:v>0</x:v>
      </x:c>
      <x:c r="H19" s="22" t="str">
        <x:v>待选型</x:v>
      </x:c>
      <x:c r="I19" s="22" t="str">
        <x:v>逻辑电源与执行器电源分支设计</x:v>
      </x:c>
      <x:c r="J19" s="22" t="str">
        <x:v>各支路电流、线损、回灌和散热测试后才能下单</x:v>
      </x:c>
      <x:c r="K19" s="24"/>
      <x:c r="L19" s="24" t="n">
        <x:f>IF(G19=0,0,IF(ISNUMBER(K19),G19*K19,""))</x:f>
        <x:v>0</x:v>
      </x:c>
      <x:c r="M19" s="22" t="str">
        <x:v>https://emanual.robotis.com/docs/en/dxl/x/xl330-m288/ | https://emanual.robotis.com/docs/en/dxl/x/xc330-m288/</x:v>
      </x:c>
      <x:c r="N19" s="22" t="str">
        <x:v>设计建议;S03;S04</x:v>
      </x:c>
    </x:row>
    <x:row r="20" ht="72" customHeight="1">
      <x:c r="A20" s="14" t="str">
        <x:v>P04</x:v>
      </x:c>
      <x:c r="B20" s="14" t="str">
        <x:v>供电</x:v>
      </x:c>
      <x:c r="C20" s="14" t="str">
        <x:v>降压模块台架候选</x:v>
      </x:c>
      <x:c r="D20" s="14" t="str">
        <x:v>Pololu D24V90F5</x:v>
      </x:c>
      <x:c r="E20" s="29"/>
      <x:c r="F20" s="29" t="str">
        <x:v>块</x:v>
      </x:c>
      <x:c r="G20" s="29" t="n">
        <x:v>1</x:v>
      </x:c>
      <x:c r="H20" s="14" t="str">
        <x:v>先样件</x:v>
      </x:c>
      <x:c r="I20" s="14" t="str">
        <x:v>5V输出；只作为台架或支路候选</x:v>
      </x:c>
      <x:c r="J20" s="14" t="str">
        <x:v>不能以9A标题认定一块能带18舵机；不并联未知均流模块</x:v>
      </x:c>
      <x:c r="K20" s="25" t="n">
        <x:v>36.82</x:v>
      </x:c>
      <x:c r="L20" s="25" t="n">
        <x:f>IF(G20=0,0,IF(ISNUMBER(K20),G20*K20,""))</x:f>
        <x:v>36.82</x:v>
      </x:c>
      <x:c r="M20" s="14" t="str">
        <x:v>https://www.pololu.com/product/2866</x:v>
      </x:c>
      <x:c r="N20" s="14" t="str">
        <x:v>S10</x:v>
      </x:c>
    </x:row>
    <x:row r="21" ht="72" customHeight="1">
      <x:c r="A21" s="22" t="str">
        <x:v>P05</x:v>
      </x:c>
      <x:c r="B21" s="22" t="str">
        <x:v>安全</x:v>
      </x:c>
      <x:c r="C21" s="22" t="str">
        <x:v>运动电源切断组件</x:v>
      </x:c>
      <x:c r="D21" s="22" t="str">
        <x:v>锁止按钮+适配直流负载的切断电路</x:v>
      </x:c>
      <x:c r="E21" s="28" t="n">
        <x:v>1</x:v>
      </x:c>
      <x:c r="F21" s="28" t="str">
        <x:v>套</x:v>
      </x:c>
      <x:c r="G21" s="28" t="n">
        <x:v>1</x:v>
      </x:c>
      <x:c r="H21" s="22" t="str">
        <x:v>待选型</x:v>
      </x:c>
      <x:c r="I21" s="22" t="str">
        <x:v>切断执行器供电；状态回读</x:v>
      </x:c>
      <x:c r="J21" s="22" t="str">
        <x:v>按钮外形不是安全认证；断电会失去支撑，先在防坠台架测试</x:v>
      </x:c>
      <x:c r="K21" s="24"/>
      <x:c r="L21" s="24" t="str">
        <x:f>IF(G21=0,0,IF(ISNUMBER(K21),G21*K21,""))</x:f>
      </x:c>
      <x:c r="M21" s="22" t="str">
        <x:v>本轮设计建议，非厂商参数</x:v>
      </x:c>
      <x:c r="N21" s="22" t="str">
        <x:v>设计建议</x:v>
      </x:c>
    </x:row>
    <x:row r="22" ht="72" customHeight="1">
      <x:c r="A22" s="14" t="str">
        <x:v>C01</x:v>
      </x:c>
      <x:c r="B22" s="14" t="str">
        <x:v>线束</x:v>
      </x:c>
      <x:c r="C22" s="14" t="str">
        <x:v>DYNAMIXEL信号/电源线束</x:v>
      </x:c>
      <x:c r="D22" s="14" t="str">
        <x:v>X330对应X3P线、分支连接与应力释放</x:v>
      </x:c>
      <x:c r="E22" s="29" t="n">
        <x:v>1</x:v>
      </x:c>
      <x:c r="F22" s="29" t="str">
        <x:v>套</x:v>
      </x:c>
      <x:c r="G22" s="29" t="n">
        <x:v>1</x:v>
      </x:c>
      <x:c r="H22" s="14" t="str">
        <x:v>待选型</x:v>
      </x:c>
      <x:c r="I22" s="14" t="str">
        <x:v>先核对舵机随附线，不重复全额采购</x:v>
      </x:c>
      <x:c r="J22" s="14" t="str">
        <x:v>长度/线径/针序/压降待走线定稿；电机不带电插拔</x:v>
      </x:c>
      <x:c r="K22" s="25"/>
      <x:c r="L22" s="25" t="str">
        <x:f>IF(G22=0,0,IF(ISNUMBER(K22),G22*K22,""))</x:f>
      </x:c>
      <x:c r="M22" s="14" t="str">
        <x:v>https://emanual.robotis.com/docs/en/dxl/x/xl330-m288/ | https://emanual.robotis.com/docs/en/dxl/x/xc330-m288/</x:v>
      </x:c>
      <x:c r="N22" s="14" t="str">
        <x:v>S03;S04</x:v>
      </x:c>
    </x:row>
    <x:row r="23" ht="72" customHeight="1">
      <x:c r="A23" s="22" t="str">
        <x:v>C02</x:v>
      </x:c>
      <x:c r="B23" s="22" t="str">
        <x:v>线束</x:v>
      </x:c>
      <x:c r="C23" s="22" t="str">
        <x:v>电池与电源线束</x:v>
      </x:c>
      <x:c r="D23" s="22" t="str">
        <x:v>防反插连接器、软线、绝缘及固定件</x:v>
      </x:c>
      <x:c r="E23" s="28" t="n">
        <x:v>1</x:v>
      </x:c>
      <x:c r="F23" s="28" t="str">
        <x:v>套</x:v>
      </x:c>
      <x:c r="G23" s="28" t="n">
        <x:v>1</x:v>
      </x:c>
      <x:c r="H23" s="22" t="str">
        <x:v>待选型</x:v>
      </x:c>
      <x:c r="I23" s="22" t="str">
        <x:v>按实际分支电流布线</x:v>
      </x:c>
      <x:c r="J23" s="22" t="str">
        <x:v>连接器持续/峰值电流和弯折半径核对</x:v>
      </x:c>
      <x:c r="K23" s="24"/>
      <x:c r="L23" s="24" t="str">
        <x:f>IF(G23=0,0,IF(ISNUMBER(K23),G23*K23,""))</x:f>
      </x:c>
      <x:c r="M23" s="22" t="str">
        <x:v>本轮设计建议，非厂商参数</x:v>
      </x:c>
      <x:c r="N23" s="22" t="str">
        <x:v>设计建议</x:v>
      </x:c>
    </x:row>
    <x:row r="24" ht="72" customHeight="1">
      <x:c r="A24" s="14" t="str">
        <x:v>C03</x:v>
      </x:c>
      <x:c r="B24" s="14" t="str">
        <x:v>线束</x:v>
      </x:c>
      <x:c r="C24" s="14" t="str">
        <x:v>IMU与相机线束</x:v>
      </x:c>
      <x:c r="D24" s="14" t="str">
        <x:v>Qwiic 3.3V线、USB数据线与活动段软线</x:v>
      </x:c>
      <x:c r="E24" s="29" t="n">
        <x:v>1</x:v>
      </x:c>
      <x:c r="F24" s="29" t="str">
        <x:v>套</x:v>
      </x:c>
      <x:c r="G24" s="29" t="n">
        <x:v>1</x:v>
      </x:c>
      <x:c r="H24" s="14" t="str">
        <x:v>待选型</x:v>
      </x:c>
      <x:c r="I24" s="14" t="str">
        <x:v>配合颈部活动空间</x:v>
      </x:c>
      <x:c r="J24" s="14" t="str">
        <x:v>I2C电平、USB弯折寿命、抗拉与插头尺寸验证</x:v>
      </x:c>
      <x:c r="K24" s="25"/>
      <x:c r="L24" s="25" t="str">
        <x:f>IF(G24=0,0,IF(ISNUMBER(K24),G24*K24,""))</x:f>
      </x:c>
      <x:c r="M24" s="14" t="str">
        <x:v>https://docs.radxa.com/en/zero/zero3 | https://www.arducam.com/arducam-usb-autofocus-imx219-b0292.html | https://www.sparkfun.com/sparkfun-micro-6dof-imu-breakout-lsm6dsv16x-qwiic.html</x:v>
      </x:c>
      <x:c r="N24" s="14" t="str">
        <x:v>S05;S07;S08</x:v>
      </x:c>
    </x:row>
    <x:row r="25" ht="72" customHeight="1">
      <x:c r="A25" s="22" t="str">
        <x:v>M01</x:v>
      </x:c>
      <x:c r="B25" s="22" t="str">
        <x:v>机构</x:v>
      </x:c>
      <x:c r="C25" s="22" t="str">
        <x:v>舵盘/从动支撑/连接件</x:v>
      </x:c>
      <x:c r="D25" s="22" t="str">
        <x:v>与所选X330型号匹配的官方或验证过的支撑件</x:v>
      </x:c>
      <x:c r="E25" s="28" t="n">
        <x:v>1</x:v>
      </x:c>
      <x:c r="F25" s="28" t="str">
        <x:v>套</x:v>
      </x:c>
      <x:c r="G25" s="28" t="n">
        <x:v>1</x:v>
      </x:c>
      <x:c r="H25" s="22" t="str">
        <x:v>待选型</x:v>
      </x:c>
      <x:c r="I25" s="22" t="str">
        <x:v>数量按18个关节与具体连接结构展开</x:v>
      </x:c>
      <x:c r="J25" s="22" t="str">
        <x:v>不能按概念图圆形关节直接选择圆形电机；核对附件清单</x:v>
      </x:c>
      <x:c r="K25" s="24"/>
      <x:c r="L25" s="24" t="str">
        <x:f>IF(G25=0,0,IF(ISNUMBER(K25),G25*K25,""))</x:f>
      </x:c>
      <x:c r="M25" s="22" t="str">
        <x:v>https://emanual.robotis.com/docs/en/dxl/x/xl330-m288/ | https://emanual.robotis.com/docs/en/dxl/x/xc330-m288/</x:v>
      </x:c>
      <x:c r="N25" s="22" t="str">
        <x:v>S03;S04</x:v>
      </x:c>
    </x:row>
    <x:row r="26" ht="72" customHeight="1">
      <x:c r="A26" s="14" t="str">
        <x:v>M02</x:v>
      </x:c>
      <x:c r="B26" s="14" t="str">
        <x:v>机构</x:v>
      </x:c>
      <x:c r="C26" s="14" t="str">
        <x:v>金属轴/轴承/衬套</x:v>
      </x:c>
      <x:c r="D26" s="14" t="str">
        <x:v>按CAD轴径与受力位置选型</x:v>
      </x:c>
      <x:c r="E26" s="29" t="n">
        <x:v>1</x:v>
      </x:c>
      <x:c r="F26" s="29" t="str">
        <x:v>套</x:v>
      </x:c>
      <x:c r="G26" s="29" t="n">
        <x:v>1</x:v>
      </x:c>
      <x:c r="H26" s="14" t="str">
        <x:v>待CAD</x:v>
      </x:c>
      <x:c r="I26" s="14" t="str">
        <x:v>嘴夹铰接、对侧支撑、必要的受力枢轴</x:v>
      </x:c>
      <x:c r="J26" s="14" t="str">
        <x:v>未做轴系CAD前，不指定608等具体轴承尺寸</x:v>
      </x:c>
      <x:c r="K26" s="25"/>
      <x:c r="L26" s="25" t="str">
        <x:f>IF(G26=0,0,IF(ISNUMBER(K26),G26*K26,""))</x:f>
      </x:c>
      <x:c r="M26" s="14" t="str">
        <x:v>本轮设计建议，非厂商参数</x:v>
      </x:c>
      <x:c r="N26" s="14" t="str">
        <x:v>设计建议</x:v>
      </x:c>
    </x:row>
    <x:row r="27" ht="72" customHeight="1">
      <x:c r="A27" s="22" t="str">
        <x:v>M03</x:v>
      </x:c>
      <x:c r="B27" s="22" t="str">
        <x:v>机构</x:v>
      </x:c>
      <x:c r="C27" s="22" t="str">
        <x:v>紧固件</x:v>
      </x:c>
      <x:c r="D27" s="22" t="str">
        <x:v>M2/M3螺钉、螺母、垫片与适配热熔嵌件</x:v>
      </x:c>
      <x:c r="E27" s="28" t="n">
        <x:v>1</x:v>
      </x:c>
      <x:c r="F27" s="28" t="str">
        <x:v>套</x:v>
      </x:c>
      <x:c r="G27" s="28" t="n">
        <x:v>1</x:v>
      </x:c>
      <x:c r="H27" s="22" t="str">
        <x:v>待CAD</x:v>
      </x:c>
      <x:c r="I27" s="22" t="str">
        <x:v>用于打印件连接；最终规格服从零件设计</x:v>
      </x:c>
      <x:c r="J27" s="22" t="str">
        <x:v>螺纹、长度、锁紧方式与数量待装配图，不强改厂商螺孔</x:v>
      </x:c>
      <x:c r="K27" s="24"/>
      <x:c r="L27" s="24" t="str">
        <x:f>IF(G27=0,0,IF(ISNUMBER(K27),G27*K27,""))</x:f>
      </x:c>
      <x:c r="M27" s="22" t="str">
        <x:v>本轮设计建议，非厂商参数</x:v>
      </x:c>
      <x:c r="N27" s="22" t="str">
        <x:v>设计建议</x:v>
      </x:c>
    </x:row>
    <x:row r="28" ht="72" customHeight="1">
      <x:c r="A28" s="14" t="str">
        <x:v>M04</x:v>
      </x:c>
      <x:c r="B28" s="14" t="str">
        <x:v>接触</x:v>
      </x:c>
      <x:c r="C28" s="14" t="str">
        <x:v>可更换脚底垫</x:v>
      </x:c>
      <x:c r="D28" s="14" t="str">
        <x:v>橡胶/硅胶片或经测试的TPU垫</x:v>
      </x:c>
      <x:c r="E28" s="29" t="n">
        <x:v>2</x:v>
      </x:c>
      <x:c r="F28" s="29" t="str">
        <x:v>片</x:v>
      </x:c>
      <x:c r="G28" s="29" t="n">
        <x:v>2</x:v>
      </x:c>
      <x:c r="H28" s="14" t="str">
        <x:v>先样件</x:v>
      </x:c>
      <x:c r="I28" s="14" t="str">
        <x:v>两只宽脚掌接触面</x:v>
      </x:c>
      <x:c r="J28" s="14" t="str">
        <x:v>测试摩擦、压缩、磨耗；非宽脚必然稳定</x:v>
      </x:c>
      <x:c r="K28" s="25"/>
      <x:c r="L28" s="25" t="str">
        <x:f>IF(G28=0,0,IF(ISNUMBER(K28),G28*K28,""))</x:f>
      </x:c>
      <x:c r="M28" s="14" t="str">
        <x:v>本轮设计建议，非厂商参数</x:v>
      </x:c>
      <x:c r="N28" s="14" t="str">
        <x:v>设计建议</x:v>
      </x:c>
    </x:row>
    <x:row r="29" ht="72" customHeight="1">
      <x:c r="A29" s="22" t="str">
        <x:v>M05</x:v>
      </x:c>
      <x:c r="B29" s="22" t="str">
        <x:v>接触</x:v>
      </x:c>
      <x:c r="C29" s="22" t="str">
        <x:v>可更换嘴夹垫</x:v>
      </x:c>
      <x:c r="D29" s="22" t="str">
        <x:v>柔性橡胶/硅胶或TPU，保留无齿钝边</x:v>
      </x:c>
      <x:c r="E29" s="28" t="n">
        <x:v>2</x:v>
      </x:c>
      <x:c r="F29" s="28" t="str">
        <x:v>片</x:v>
      </x:c>
      <x:c r="G29" s="28" t="n">
        <x:v>4</x:v>
      </x:c>
      <x:c r="H29" s="22" t="str">
        <x:v>先样件</x:v>
      </x:c>
      <x:c r="I29" s="22" t="str">
        <x:v>上、下嘴各一片；首批比较两组样件</x:v>
      </x:c>
      <x:c r="J29" s="22" t="str">
        <x:v>摩擦/滑移/小物体夹持试验；不是经过验证的力控夹爪</x:v>
      </x:c>
      <x:c r="K29" s="24"/>
      <x:c r="L29" s="24" t="str">
        <x:f>IF(G29=0,0,IF(ISNUMBER(K29),G29*K29,""))</x:f>
      </x:c>
      <x:c r="M29" s="22" t="str">
        <x:v>本轮设计建议，非厂商参数</x:v>
      </x:c>
      <x:c r="N29" s="22" t="str">
        <x:v>设计建议</x:v>
      </x:c>
    </x:row>
    <x:row r="30" ht="72" customHeight="1">
      <x:c r="A30" s="14" t="str">
        <x:v>T01</x:v>
      </x:c>
      <x:c r="B30" s="14" t="str">
        <x:v>台架</x:v>
      </x:c>
      <x:c r="C30" s="14" t="str">
        <x:v>限流稳压电源（测试工具）</x:v>
      </x:c>
      <x:c r="D30" s="14" t="str">
        <x:v>电压设为所选舵机工作点；带限流与保护</x:v>
      </x:c>
      <x:c r="E30" s="29" t="n">
        <x:v>0</x:v>
      </x:c>
      <x:c r="F30" s="29" t="str">
        <x:v>台</x:v>
      </x:c>
      <x:c r="G30" s="29" t="n">
        <x:v>1</x:v>
      </x:c>
      <x:c r="H30" s="14" t="str">
        <x:v>先样件</x:v>
      </x:c>
      <x:c r="I30" s="14" t="str">
        <x:v>不装入整机；用于逐关节测试</x:v>
      </x:c>
      <x:c r="J30" s="14" t="str">
        <x:v>按测试电流选档；确认供电极性及超压保护</x:v>
      </x:c>
      <x:c r="K30" s="25"/>
      <x:c r="L30" s="25" t="str">
        <x:f>IF(G30=0,0,IF(ISNUMBER(K30),G30*K30,""))</x:f>
      </x:c>
      <x:c r="M30" s="14" t="str">
        <x:v>https://emanual.robotis.com/docs/en/dxl/x/xl330-m288/ | https://emanual.robotis.com/docs/en/dxl/x/xc330-m288/ | https://emanual.robotis.com/docs/en/parts/interface/u2d2/</x:v>
      </x:c>
      <x:c r="N30" s="14" t="str">
        <x:v>S03;S04;S06</x:v>
      </x:c>
    </x:row>
    <x:row r="31" ht="72" customHeight="1">
      <x:c r="A31" s="22" t="str">
        <x:v>T02</x:v>
      </x:c>
      <x:c r="B31" s="22" t="str">
        <x:v>台架</x:v>
      </x:c>
      <x:c r="C31" s="22" t="str">
        <x:v>防坠与关节测试夹具（工具）</x:v>
      </x:c>
      <x:c r="D31" s="22" t="str">
        <x:v>台架/固定夹/承力支架</x:v>
      </x:c>
      <x:c r="E31" s="28" t="n">
        <x:v>0</x:v>
      </x:c>
      <x:c r="F31" s="28" t="str">
        <x:v>套</x:v>
      </x:c>
      <x:c r="G31" s="28" t="n">
        <x:v>1</x:v>
      </x:c>
      <x:c r="H31" s="22" t="str">
        <x:v>待CAD</x:v>
      </x:c>
      <x:c r="I31" s="22" t="str">
        <x:v>不装入整机；记录位移、电流及温升</x:v>
      </x:c>
      <x:c r="J31" s="22" t="str">
        <x:v>不得在整机演示中用隐藏支撑代替平衡能力</x:v>
      </x:c>
      <x:c r="K31" s="24"/>
      <x:c r="L31" s="24" t="str">
        <x:f>IF(G31=0,0,IF(ISNUMBER(K31),G31*K31,""))</x:f>
      </x:c>
      <x:c r="M31" s="22" t="str">
        <x:v>https://github.com/sgyli7/Sai_Rotbots/blob/main/docs/OPEN_SOURCE_STATUS.md</x:v>
      </x:c>
      <x:c r="N31" s="22" t="str">
        <x:v>设计建议;S02</x:v>
      </x:c>
    </x:row>
  </x:sheetData>
  <x:mergeCells>
    <x:mergeCell ref="A1:N2"/>
    <x:mergeCell ref="A3:N4"/>
  </x:mergeCells>
  <x:conditionalFormatting sqref="H7:H31">
    <x:cfRule type="expression" dxfId="0" priority="1">
      <x:formula>$H7="暂缓"</x:formula>
    </x:cfRule>
    <x:cfRule type="expression" dxfId="1" priority="2">
      <x:formula>$H7="先样件"</x:formula>
    </x:cfRule>
  </x:conditionalFormatting>
  <x:dataValidations count="2">
    <x:dataValidation type="whole" sqref="G7:G31">
      <x:formula1>0</x:formula1>
    </x:dataValidation>
    <x:dataValidation type="list" sqref="H7:H31">
      <x:formula1>"先样件,待选型,待CAD,暂缓,可选,已验证,已采购"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2bb9b8179c408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18" hidden="0" customWidth="1"/>
    <x:col min="4" max="4" width="28" hidden="0" customWidth="1"/>
    <x:col min="5" max="5" width="25" hidden="0" customWidth="1"/>
    <x:col min="6" max="6" width="44" hidden="0" customWidth="1"/>
    <x:col min="7" max="7" width="22" hidden="0" customWidth="1"/>
  </x:cols>
  <x:sheetData>
    <x:row r="1" ht="22" customHeight="1">
      <x:c r="A1" s="3" t="str">
        <x:v>Goose_V0.1  |  关节研究布局</x:v>
      </x:c>
      <x:c r="B1" s="3"/>
      <x:c r="C1" s="3"/>
      <x:c r="D1" s="3"/>
      <x:c r="E1" s="3"/>
      <x:c r="F1" s="3"/>
      <x:c r="G1" s="3"/>
    </x:row>
    <x:row r="2" ht="22" customHeight="1">
      <x:c r="A2" s="3"/>
      <x:c r="B2" s="3"/>
      <x:c r="C2" s="3"/>
      <x:c r="D2" s="3"/>
      <x:c r="E2" s="3"/>
      <x:c r="F2" s="3"/>
      <x:c r="G2" s="3"/>
    </x:row>
    <x:row r="3" ht="22" customHeight="1">
      <x:c r="A3" s="8" t="str">
        <x:v>每腿5轴来自MicroDuck参照；7R鹅颈沿用首轮候选，尚未进行完整运动学/CAD验证。12×XC330 + 6×XL330仅为轻型台架报价分配，不是最终执行器选型。</x:v>
      </x:c>
      <x:c r="B3" s="8"/>
      <x:c r="C3" s="8"/>
      <x:c r="D3" s="8"/>
      <x:c r="E3" s="8"/>
      <x:c r="F3" s="8"/>
      <x:c r="G3" s="8"/>
    </x:row>
    <x:row r="4" ht="22" customHeight="1">
      <x:c r="A4" s="8"/>
      <x:c r="B4" s="8"/>
      <x:c r="C4" s="8"/>
      <x:c r="D4" s="8"/>
      <x:c r="E4" s="8"/>
      <x:c r="F4" s="8"/>
      <x:c r="G4" s="8"/>
    </x:row>
    <x:row r="6" ht="34" customHeight="1">
      <x:c r="A6" s="19" t="str">
        <x:v>关节名</x:v>
      </x:c>
      <x:c r="B6" s="19" t="str">
        <x:v>部位</x:v>
      </x:c>
      <x:c r="C6" s="19" t="str">
        <x:v>运动轴</x:v>
      </x:c>
      <x:c r="D6" s="19" t="str">
        <x:v>意图</x:v>
      </x:c>
      <x:c r="E6" s="19" t="str">
        <x:v>候选执行器</x:v>
      </x:c>
      <x:c r="F6" s="19" t="str">
        <x:v>工程状态</x:v>
      </x:c>
      <x:c r="G6" s="19" t="str">
        <x:v>依据</x:v>
      </x:c>
    </x:row>
    <x:row r="7" ht="72" customHeight="1">
      <x:c r="A7" s="22" t="str">
        <x:v>left_hip_yaw</x:v>
      </x:c>
      <x:c r="B7" s="22" t="str">
        <x:v>左腿</x:v>
      </x:c>
      <x:c r="C7" s="22" t="str">
        <x:v>髋偏航</x:v>
      </x:c>
      <x:c r="D7" s="22" t="str">
        <x:v>转向与摆脚方向</x:v>
      </x:c>
      <x:c r="E7" s="22" t="str">
        <x:v>XC330-M288-T</x:v>
      </x:c>
      <x:c r="F7" s="22" t="str">
        <x:v>待力矩/温升/冲击测试；仅轻量路线候选</x:v>
      </x:c>
      <x:c r="G7" s="22" t="str">
        <x:v>S01;S04</x:v>
      </x:c>
    </x:row>
    <x:row r="8" ht="72" customHeight="1">
      <x:c r="A8" s="14" t="str">
        <x:v>left_hip_roll</x:v>
      </x:c>
      <x:c r="B8" s="14" t="str">
        <x:v>左腿</x:v>
      </x:c>
      <x:c r="C8" s="14" t="str">
        <x:v>髋侧摆</x:v>
      </x:c>
      <x:c r="D8" s="14" t="str">
        <x:v>横向移重</x:v>
      </x:c>
      <x:c r="E8" s="14" t="str">
        <x:v>XC330-M288-T</x:v>
      </x:c>
      <x:c r="F8" s="14" t="str">
        <x:v>待力矩/温升/冲击测试；仅轻量路线候选</x:v>
      </x:c>
      <x:c r="G8" s="14" t="str">
        <x:v>S01;S04</x:v>
      </x:c>
    </x:row>
    <x:row r="9" ht="72" customHeight="1">
      <x:c r="A9" s="22" t="str">
        <x:v>left_hip_pitch</x:v>
      </x:c>
      <x:c r="B9" s="22" t="str">
        <x:v>左腿</x:v>
      </x:c>
      <x:c r="C9" s="22" t="str">
        <x:v>髋俯仰</x:v>
      </x:c>
      <x:c r="D9" s="22" t="str">
        <x:v>前后摆腿</x:v>
      </x:c>
      <x:c r="E9" s="22" t="str">
        <x:v>XC330-M288-T</x:v>
      </x:c>
      <x:c r="F9" s="22" t="str">
        <x:v>待力矩/温升/冲击测试；仅轻量路线候选</x:v>
      </x:c>
      <x:c r="G9" s="22" t="str">
        <x:v>S01;S04</x:v>
      </x:c>
    </x:row>
    <x:row r="10" ht="72" customHeight="1">
      <x:c r="A10" s="14" t="str">
        <x:v>left_knee_pitch</x:v>
      </x:c>
      <x:c r="B10" s="14" t="str">
        <x:v>左腿</x:v>
      </x:c>
      <x:c r="C10" s="14" t="str">
        <x:v>膝俯仰</x:v>
      </x:c>
      <x:c r="D10" s="14" t="str">
        <x:v>屈伸与下蹲</x:v>
      </x:c>
      <x:c r="E10" s="14" t="str">
        <x:v>XC330-M288-T</x:v>
      </x:c>
      <x:c r="F10" s="14" t="str">
        <x:v>待力矩/温升/冲击测试；仅轻量路线候选</x:v>
      </x:c>
      <x:c r="G10" s="14" t="str">
        <x:v>S01;S04</x:v>
      </x:c>
    </x:row>
    <x:row r="11" ht="72" customHeight="1">
      <x:c r="A11" s="22" t="str">
        <x:v>left_ankle_pitch</x:v>
      </x:c>
      <x:c r="B11" s="22" t="str">
        <x:v>左腿</x:v>
      </x:c>
      <x:c r="C11" s="22" t="str">
        <x:v>踝俯仰</x:v>
      </x:c>
      <x:c r="D11" s="22" t="str">
        <x:v>脚掌前后贴地角度</x:v>
      </x:c>
      <x:c r="E11" s="22" t="str">
        <x:v>XC330-M288-T</x:v>
      </x:c>
      <x:c r="F11" s="22" t="str">
        <x:v>待力矩/温升/冲击测试；仅轻量路线候选</x:v>
      </x:c>
      <x:c r="G11" s="22" t="str">
        <x:v>S01;S04</x:v>
      </x:c>
    </x:row>
    <x:row r="12" ht="72" customHeight="1">
      <x:c r="A12" s="14" t="str">
        <x:v>right_hip_yaw</x:v>
      </x:c>
      <x:c r="B12" s="14" t="str">
        <x:v>右腿</x:v>
      </x:c>
      <x:c r="C12" s="14" t="str">
        <x:v>髋偏航</x:v>
      </x:c>
      <x:c r="D12" s="14" t="str">
        <x:v>转向与摆脚方向</x:v>
      </x:c>
      <x:c r="E12" s="14" t="str">
        <x:v>XC330-M288-T</x:v>
      </x:c>
      <x:c r="F12" s="14" t="str">
        <x:v>待力矩/温升/冲击测试；仅轻量路线候选</x:v>
      </x:c>
      <x:c r="G12" s="14" t="str">
        <x:v>S01;S04</x:v>
      </x:c>
    </x:row>
    <x:row r="13" ht="72" customHeight="1">
      <x:c r="A13" s="22" t="str">
        <x:v>right_hip_roll</x:v>
      </x:c>
      <x:c r="B13" s="22" t="str">
        <x:v>右腿</x:v>
      </x:c>
      <x:c r="C13" s="22" t="str">
        <x:v>髋侧摆</x:v>
      </x:c>
      <x:c r="D13" s="22" t="str">
        <x:v>横向移重</x:v>
      </x:c>
      <x:c r="E13" s="22" t="str">
        <x:v>XC330-M288-T</x:v>
      </x:c>
      <x:c r="F13" s="22" t="str">
        <x:v>待力矩/温升/冲击测试；仅轻量路线候选</x:v>
      </x:c>
      <x:c r="G13" s="22" t="str">
        <x:v>S01;S04</x:v>
      </x:c>
    </x:row>
    <x:row r="14" ht="72" customHeight="1">
      <x:c r="A14" s="14" t="str">
        <x:v>right_hip_pitch</x:v>
      </x:c>
      <x:c r="B14" s="14" t="str">
        <x:v>右腿</x:v>
      </x:c>
      <x:c r="C14" s="14" t="str">
        <x:v>髋俯仰</x:v>
      </x:c>
      <x:c r="D14" s="14" t="str">
        <x:v>前后摆腿</x:v>
      </x:c>
      <x:c r="E14" s="14" t="str">
        <x:v>XC330-M288-T</x:v>
      </x:c>
      <x:c r="F14" s="14" t="str">
        <x:v>待力矩/温升/冲击测试；仅轻量路线候选</x:v>
      </x:c>
      <x:c r="G14" s="14" t="str">
        <x:v>S01;S04</x:v>
      </x:c>
    </x:row>
    <x:row r="15" ht="72" customHeight="1">
      <x:c r="A15" s="22" t="str">
        <x:v>right_knee_pitch</x:v>
      </x:c>
      <x:c r="B15" s="22" t="str">
        <x:v>右腿</x:v>
      </x:c>
      <x:c r="C15" s="22" t="str">
        <x:v>膝俯仰</x:v>
      </x:c>
      <x:c r="D15" s="22" t="str">
        <x:v>屈伸与下蹲</x:v>
      </x:c>
      <x:c r="E15" s="22" t="str">
        <x:v>XC330-M288-T</x:v>
      </x:c>
      <x:c r="F15" s="22" t="str">
        <x:v>待力矩/温升/冲击测试；仅轻量路线候选</x:v>
      </x:c>
      <x:c r="G15" s="22" t="str">
        <x:v>S01;S04</x:v>
      </x:c>
    </x:row>
    <x:row r="16" ht="72" customHeight="1">
      <x:c r="A16" s="14" t="str">
        <x:v>right_ankle_pitch</x:v>
      </x:c>
      <x:c r="B16" s="14" t="str">
        <x:v>右腿</x:v>
      </x:c>
      <x:c r="C16" s="14" t="str">
        <x:v>踝俯仰</x:v>
      </x:c>
      <x:c r="D16" s="14" t="str">
        <x:v>脚掌前后贴地角度</x:v>
      </x:c>
      <x:c r="E16" s="14" t="str">
        <x:v>XC330-M288-T</x:v>
      </x:c>
      <x:c r="F16" s="14" t="str">
        <x:v>待力矩/温升/冲击测试；仅轻量路线候选</x:v>
      </x:c>
      <x:c r="G16" s="14" t="str">
        <x:v>S01;S04</x:v>
      </x:c>
    </x:row>
    <x:row r="17" ht="72" customHeight="1">
      <x:c r="A17" s="22" t="str">
        <x:v>neck_base_yaw</x:v>
      </x:c>
      <x:c r="B17" s="22" t="str">
        <x:v>颈/头</x:v>
      </x:c>
      <x:c r="C17" s="22" t="str">
        <x:v>颈根偏航</x:v>
      </x:c>
      <x:c r="D17" s="22" t="str">
        <x:v>左右转向</x:v>
      </x:c>
      <x:c r="E17" s="22" t="str">
        <x:v>XL330-M288-T</x:v>
      </x:c>
      <x:c r="F17" s="22" t="str">
        <x:v>沿用首轮7R研究方案；轴线、负载与布线未冻结</x:v>
      </x:c>
      <x:c r="G17" s="22" t="str">
        <x:v>首轮设计意图;S03;S04</x:v>
      </x:c>
    </x:row>
    <x:row r="18" ht="72" customHeight="1">
      <x:c r="A18" s="14" t="str">
        <x:v>neck_base_pitch</x:v>
      </x:c>
      <x:c r="B18" s="14" t="str">
        <x:v>颈/头</x:v>
      </x:c>
      <x:c r="C18" s="14" t="str">
        <x:v>颈根俯仰</x:v>
      </x:c>
      <x:c r="D18" s="14" t="str">
        <x:v>整颈前探与抬起</x:v>
      </x:c>
      <x:c r="E18" s="14" t="str">
        <x:v>XC330-M288-T</x:v>
      </x:c>
      <x:c r="F18" s="14" t="str">
        <x:v>沿用首轮7R研究方案；轴线、负载与布线未冻结</x:v>
      </x:c>
      <x:c r="G18" s="14" t="str">
        <x:v>首轮设计意图;S03;S04</x:v>
      </x:c>
    </x:row>
    <x:row r="19" ht="72" customHeight="1">
      <x:c r="A19" s="22" t="str">
        <x:v>neck_twist</x:v>
      </x:c>
      <x:c r="B19" s="22" t="str">
        <x:v>颈/头</x:v>
      </x:c>
      <x:c r="C19" s="22" t="str">
        <x:v>中段轴向扭转</x:v>
      </x:c>
      <x:c r="D19" s="22" t="str">
        <x:v>改变弯折平面</x:v>
      </x:c>
      <x:c r="E19" s="22" t="str">
        <x:v>XL330-M288-T</x:v>
      </x:c>
      <x:c r="F19" s="22" t="str">
        <x:v>沿用首轮7R研究方案；轴线、负载与布线未冻结</x:v>
      </x:c>
      <x:c r="G19" s="22" t="str">
        <x:v>首轮设计意图;S03;S04</x:v>
      </x:c>
    </x:row>
    <x:row r="20" ht="72" customHeight="1">
      <x:c r="A20" s="14" t="str">
        <x:v>neck_mid_pitch</x:v>
      </x:c>
      <x:c r="B20" s="14" t="str">
        <x:v>颈/头</x:v>
      </x:c>
      <x:c r="C20" s="14" t="str">
        <x:v>中段弯折</x:v>
      </x:c>
      <x:c r="D20" s="14" t="str">
        <x:v>调节S形颈姿态</x:v>
      </x:c>
      <x:c r="E20" s="14" t="str">
        <x:v>XC330-M288-T</x:v>
      </x:c>
      <x:c r="F20" s="14" t="str">
        <x:v>沿用首轮7R研究方案；轴线、负载与布线未冻结</x:v>
      </x:c>
      <x:c r="G20" s="14" t="str">
        <x:v>首轮设计意图;S03;S04</x:v>
      </x:c>
    </x:row>
    <x:row r="21" ht="72" customHeight="1">
      <x:c r="A21" s="22" t="str">
        <x:v>head_yaw</x:v>
      </x:c>
      <x:c r="B21" s="22" t="str">
        <x:v>颈/头</x:v>
      </x:c>
      <x:c r="C21" s="22" t="str">
        <x:v>头偏航</x:v>
      </x:c>
      <x:c r="D21" s="22" t="str">
        <x:v>嘴朝向调整</x:v>
      </x:c>
      <x:c r="E21" s="22" t="str">
        <x:v>XL330-M288-T</x:v>
      </x:c>
      <x:c r="F21" s="22" t="str">
        <x:v>沿用首轮7R研究方案；轴线、负载与布线未冻结</x:v>
      </x:c>
      <x:c r="G21" s="22" t="str">
        <x:v>首轮设计意图;S03;S04</x:v>
      </x:c>
    </x:row>
    <x:row r="22" ht="72" customHeight="1">
      <x:c r="A22" s="14" t="str">
        <x:v>head_pitch</x:v>
      </x:c>
      <x:c r="B22" s="14" t="str">
        <x:v>颈/头</x:v>
      </x:c>
      <x:c r="C22" s="14" t="str">
        <x:v>头俯仰</x:v>
      </x:c>
      <x:c r="D22" s="14" t="str">
        <x:v>点头与夹取角度</x:v>
      </x:c>
      <x:c r="E22" s="14" t="str">
        <x:v>XL330-M288-T</x:v>
      </x:c>
      <x:c r="F22" s="14" t="str">
        <x:v>沿用首轮7R研究方案；轴线、负载与布线未冻结</x:v>
      </x:c>
      <x:c r="G22" s="14" t="str">
        <x:v>首轮设计意图;S03;S04</x:v>
      </x:c>
    </x:row>
    <x:row r="23" ht="72" customHeight="1">
      <x:c r="A23" s="22" t="str">
        <x:v>head_roll</x:v>
      </x:c>
      <x:c r="B23" s="22" t="str">
        <x:v>颈/头</x:v>
      </x:c>
      <x:c r="C23" s="22" t="str">
        <x:v>头滚转</x:v>
      </x:c>
      <x:c r="D23" s="22" t="str">
        <x:v>歪头与夹爪方向</x:v>
      </x:c>
      <x:c r="E23" s="22" t="str">
        <x:v>XL330-M288-T</x:v>
      </x:c>
      <x:c r="F23" s="22" t="str">
        <x:v>沿用首轮7R研究方案；轴线、负载与布线未冻结</x:v>
      </x:c>
      <x:c r="G23" s="22" t="str">
        <x:v>首轮设计意图;S03;S04</x:v>
      </x:c>
    </x:row>
    <x:row r="24" ht="72" customHeight="1">
      <x:c r="A24" s="14" t="str">
        <x:v>beak_open</x:v>
      </x:c>
      <x:c r="B24" s="14" t="str">
        <x:v>嘴夹</x:v>
      </x:c>
      <x:c r="C24" s="14" t="str">
        <x:v>独立开合</x:v>
      </x:c>
      <x:c r="D24" s="14" t="str">
        <x:v>固定上嘴/铰接下嘴</x:v>
      </x:c>
      <x:c r="E24" s="14" t="str">
        <x:v>XL330-M288-T</x:v>
      </x:c>
      <x:c r="F24" s="14" t="str">
        <x:v>需夹持力、开度、夹点与柔顺垫测试</x:v>
      </x:c>
      <x:c r="G24" s="14" t="str">
        <x:v>S03</x:v>
      </x:c>
    </x:row>
  </x:sheetData>
  <x:mergeCells>
    <x:mergeCell ref="A1:G2"/>
    <x:mergeCell ref="A3:G4"/>
  </x:mergeCells>
  <x:pageMargins left="0.7" right="0.7" top="0.75" bottom="0.75" header="0.3" footer="0.3"/>
  <x:tableParts count="1">
    <x:tablePart xmlns:r="http://schemas.openxmlformats.org/officeDocument/2006/relationships" r:id="Rb409d9620c5a456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5" hidden="0" customWidth="1"/>
    <x:col min="3" max="3" width="12" hidden="0" customWidth="1"/>
    <x:col min="4" max="4" width="8" hidden="0" customWidth="1"/>
    <x:col min="5" max="5" width="38" hidden="0" customWidth="1"/>
    <x:col min="6" max="6" width="42" hidden="0" customWidth="1"/>
    <x:col min="7" max="7" width="43" hidden="0" customWidth="1"/>
  </x:cols>
  <x:sheetData>
    <x:row r="1" ht="22" customHeight="1">
      <x:c r="A1" s="3" t="str">
        <x:v>Goose_V0.1  |  打印与加工目录</x:v>
      </x:c>
      <x:c r="B1" s="3"/>
      <x:c r="C1" s="3"/>
      <x:c r="D1" s="3"/>
      <x:c r="E1" s="3"/>
      <x:c r="F1" s="3"/>
      <x:c r="G1" s="3"/>
    </x:row>
    <x:row r="2" ht="22" customHeight="1">
      <x:c r="A2" s="3"/>
      <x:c r="B2" s="3"/>
      <x:c r="C2" s="3"/>
      <x:c r="D2" s="3"/>
      <x:c r="E2" s="3"/>
      <x:c r="F2" s="3"/>
      <x:c r="G2" s="3"/>
    </x:row>
    <x:row r="3" ht="22" customHeight="1">
      <x:c r="A3" s="8" t="str">
        <x:v>仅到零件组级别，尚无制造CAD/STL、完整尺寸、公差或螺钉级发料表。软垫与采购表重复出现用于结构对应，不重复计价。</x:v>
      </x:c>
      <x:c r="B3" s="8"/>
      <x:c r="C3" s="8"/>
      <x:c r="D3" s="8"/>
      <x:c r="E3" s="8"/>
      <x:c r="F3" s="8"/>
      <x:c r="G3" s="8"/>
    </x:row>
    <x:row r="4" ht="22" customHeight="1">
      <x:c r="A4" s="8"/>
      <x:c r="B4" s="8"/>
      <x:c r="C4" s="8"/>
      <x:c r="D4" s="8"/>
      <x:c r="E4" s="8"/>
      <x:c r="F4" s="8"/>
      <x:c r="G4" s="8"/>
    </x:row>
    <x:row r="6" ht="34" customHeight="1">
      <x:c r="A6" s="19" t="str">
        <x:v>编号</x:v>
      </x:c>
      <x:c r="B6" s="19" t="str">
        <x:v>零件组</x:v>
      </x:c>
      <x:c r="C6" s="19" t="str">
        <x:v>暂配数量</x:v>
      </x:c>
      <x:c r="D6" s="19" t="str">
        <x:v>单位</x:v>
      </x:c>
      <x:c r="E6" s="19" t="str">
        <x:v>制造路线建议</x:v>
      </x:c>
      <x:c r="F6" s="19" t="str">
        <x:v>结构重点</x:v>
      </x:c>
      <x:c r="G6" s="19" t="str">
        <x:v>放行条件</x:v>
      </x:c>
    </x:row>
    <x:row r="7" ht="72" customHeight="1">
      <x:c r="A7" s="22" t="str">
        <x:v>F01</x:v>
      </x:c>
      <x:c r="B7" s="22" t="str">
        <x:v>头壳与镜头面板</x:v>
      </x:c>
      <x:c r="C7" s="22" t="n">
        <x:v>1</x:v>
      </x:c>
      <x:c r="D7" s="22" t="str">
        <x:v>套</x:v>
      </x:c>
      <x:c r="E7" s="22" t="str">
        <x:v>PETG/ASA分体打印</x:v>
      </x:c>
      <x:c r="F7" s="22" t="str">
        <x:v>相机可拆；镜头/USB插头包络；散热与碰撞保护</x:v>
      </x:c>
      <x:c r="G7" s="22" t="str">
        <x:v>仅候选外观；尚无制造STL</x:v>
      </x:c>
    </x:row>
    <x:row r="8" ht="72" customHeight="1">
      <x:c r="A8" s="14" t="str">
        <x:v>F02</x:v>
      </x:c>
      <x:c r="B8" s="14" t="str">
        <x:v>上嘴与下嘴刚性骨架</x:v>
      </x:c>
      <x:c r="C8" s="14" t="n">
        <x:v>1</x:v>
      </x:c>
      <x:c r="D8" s="14" t="str">
        <x:v>套</x:v>
      </x:c>
      <x:c r="E8" s="14" t="str">
        <x:v>打印主体+金属铰接轴</x:v>
      </x:c>
      <x:c r="F8" s="14" t="str">
        <x:v>固定上嘴、单轴下嘴；嘴尖钝化；夹爪垫可换</x:v>
      </x:c>
      <x:c r="G8" s="14" t="str">
        <x:v>夹持开度/连杆与负载待测试</x:v>
      </x:c>
    </x:row>
    <x:row r="9" ht="72" customHeight="1">
      <x:c r="A9" s="22" t="str">
        <x:v>F03</x:v>
      </x:c>
      <x:c r="B9" s="22" t="str">
        <x:v>嘴夹软垫</x:v>
      </x:c>
      <x:c r="C9" s="22" t="n">
        <x:v>2</x:v>
      </x:c>
      <x:c r="D9" s="22" t="str">
        <x:v>片</x:v>
      </x:c>
      <x:c r="E9" s="22" t="str">
        <x:v>裁切橡胶/硅胶或TPU打印</x:v>
      </x:c>
      <x:c r="F9" s="22" t="str">
        <x:v>机械卡位或螺固；避免脱落</x:v>
      </x:c>
      <x:c r="G9" s="22" t="str">
        <x:v>与组件M05为同一物，不重复计价</x:v>
      </x:c>
    </x:row>
    <x:row r="10" ht="72" customHeight="1">
      <x:c r="A10" s="14" t="str">
        <x:v>F04</x:v>
      </x:c>
      <x:c r="B10" s="14" t="str">
        <x:v>颈段连接件与关节护罩</x:v>
      </x:c>
      <x:c r="C10" s="14" t="n">
        <x:v>1</x:v>
      </x:c>
      <x:c r="D10" s="14" t="str">
        <x:v>套</x:v>
      </x:c>
      <x:c r="E10" s="14" t="str">
        <x:v>验证后的打印件；必要部位金属加强</x:v>
      </x:c>
      <x:c r="F10" s="14" t="str">
        <x:v>7轴布置、双侧支撑、限位、线缆弯曲空间</x:v>
      </x:c>
      <x:c r="G10" s="14" t="str">
        <x:v>护罩不代表已选中的电机外形</x:v>
      </x:c>
    </x:row>
    <x:row r="11" ht="72" customHeight="1">
      <x:c r="A11" s="22" t="str">
        <x:v>F05</x:v>
      </x:c>
      <x:c r="B11" s="22" t="str">
        <x:v>躯干外壳与检修盖</x:v>
      </x:c>
      <x:c r="C11" s="22" t="n">
        <x:v>1</x:v>
      </x:c>
      <x:c r="D11" s="22" t="str">
        <x:v>套</x:v>
      </x:c>
      <x:c r="E11" s="22" t="str">
        <x:v>分体打印</x:v>
      </x:c>
      <x:c r="F11" s="22" t="str">
        <x:v>主控/电池可独立拆；孔位在布置后生成</x:v>
      </x:c>
      <x:c r="G11" s="22" t="str">
        <x:v>不含Cargo；不以渲染切面代替装配图</x:v>
      </x:c>
    </x:row>
    <x:row r="12" ht="72" customHeight="1">
      <x:c r="A12" s="14" t="str">
        <x:v>F06</x:v>
      </x:c>
      <x:c r="B12" s="14" t="str">
        <x:v>躯干承力内框</x:v>
      </x:c>
      <x:c r="C12" s="14" t="n">
        <x:v>1</x:v>
      </x:c>
      <x:c r="D12" s="14" t="str">
        <x:v>套</x:v>
      </x:c>
      <x:c r="E12" s="14" t="str">
        <x:v>金属板件与验证后的打印支座</x:v>
      </x:c>
      <x:c r="F12" s="14" t="str">
        <x:v>颈根/髋部力传到内框，外壳不作唯一承力件</x:v>
      </x:c>
      <x:c r="G12" s="14" t="str">
        <x:v>壁厚、应力、紧固与跌落工况待定</x:v>
      </x:c>
    </x:row>
    <x:row r="13" ht="72" customHeight="1">
      <x:c r="A13" s="22" t="str">
        <x:v>F07</x:v>
      </x:c>
      <x:c r="B13" s="22" t="str">
        <x:v>腿部支架与对侧支撑</x:v>
      </x:c>
      <x:c r="C13" s="22" t="n">
        <x:v>2</x:v>
      </x:c>
      <x:c r="D13" s="22" t="str">
        <x:v>套</x:v>
      </x:c>
      <x:c r="E13" s="22" t="str">
        <x:v>金属受力件/验证后的打印支架</x:v>
      </x:c>
      <x:c r="F13" s="22" t="str">
        <x:v>每腿5轴；髋偏航和侧摆不能省略</x:v>
      </x:c>
      <x:c r="G13" s="22" t="str">
        <x:v>轴线、无碰撞运动范围待CAD</x:v>
      </x:c>
    </x:row>
    <x:row r="14" ht="72" customHeight="1">
      <x:c r="A14" s="14" t="str">
        <x:v>F08</x:v>
      </x:c>
      <x:c r="B14" s="14" t="str">
        <x:v>宽脚掌上壳与底板</x:v>
      </x:c>
      <x:c r="C14" s="14" t="n">
        <x:v>2</x:v>
      </x:c>
      <x:c r="D14" s="14" t="str">
        <x:v>只</x:v>
      </x:c>
      <x:c r="E14" s="14" t="str">
        <x:v>刚性脚板+打印上壳</x:v>
      </x:c>
      <x:c r="F14" s="14" t="str">
        <x:v>踝轴位置、脚间隙、脚底垫安装</x:v>
      </x:c>
      <x:c r="G14" s="14" t="str">
        <x:v>不直接承诺不平地面/楼梯能力</x:v>
      </x:c>
    </x:row>
    <x:row r="15" ht="72" customHeight="1">
      <x:c r="A15" s="22" t="str">
        <x:v>F09</x:v>
      </x:c>
      <x:c r="B15" s="22" t="str">
        <x:v>脚底垫</x:v>
      </x:c>
      <x:c r="C15" s="22" t="n">
        <x:v>2</x:v>
      </x:c>
      <x:c r="D15" s="22" t="str">
        <x:v>片</x:v>
      </x:c>
      <x:c r="E15" s="22" t="str">
        <x:v>裁切橡胶/硅胶或TPU打印</x:v>
      </x:c>
      <x:c r="F15" s="22" t="str">
        <x:v>接地摩擦与微小缓冲</x:v>
      </x:c>
      <x:c r="G15" s="22" t="str">
        <x:v>与组件M04为同一物，不重复计价</x:v>
      </x:c>
    </x:row>
    <x:row r="16" ht="72" customHeight="1">
      <x:c r="A16" s="14" t="str">
        <x:v>F10</x:v>
      </x:c>
      <x:c r="B16" s="14" t="str">
        <x:v>电池托与锁止件</x:v>
      </x:c>
      <x:c r="C16" s="14" t="n">
        <x:v>1</x:v>
      </x:c>
      <x:c r="D16" s="14" t="str">
        <x:v>套</x:v>
      </x:c>
      <x:c r="E16" s="14" t="str">
        <x:v>打印+必要的金属锁止</x:v>
      </x:c>
      <x:c r="F16" s="14" t="str">
        <x:v>低位装配，绝缘、防反插、能检修</x:v>
      </x:c>
      <x:c r="G16" s="14" t="str">
        <x:v>电池型号冻结后制作</x:v>
      </x:c>
    </x:row>
    <x:row r="17" ht="72" customHeight="1">
      <x:c r="A17" s="22" t="str">
        <x:v>F11</x:v>
      </x:c>
      <x:c r="B17" s="22" t="str">
        <x:v>相机/IMU/主控安装架</x:v>
      </x:c>
      <x:c r="C17" s="22" t="n">
        <x:v>1</x:v>
      </x:c>
      <x:c r="D17" s="22" t="str">
        <x:v>套</x:v>
      </x:c>
      <x:c r="E17" s="22" t="str">
        <x:v>小型打印支架+紧固件</x:v>
      </x:c>
      <x:c r="F17" s="22" t="str">
        <x:v>IMU刚性固定；相机光心可标定</x:v>
      </x:c>
      <x:c r="G17" s="22" t="str">
        <x:v>没有额外第二IMU/力传感器默认需求</x:v>
      </x:c>
    </x:row>
    <x:row r="18" ht="72" customHeight="1">
      <x:c r="A18" s="14" t="str">
        <x:v>F12</x:v>
      </x:c>
      <x:c r="B18" s="14" t="str">
        <x:v>线夹/护线件/插头挡块</x:v>
      </x:c>
      <x:c r="C18" s="14" t="n">
        <x:v>1</x:v>
      </x:c>
      <x:c r="D18" s="14" t="str">
        <x:v>套</x:v>
      </x:c>
      <x:c r="E18" s="14" t="str">
        <x:v>打印或采购标准件</x:v>
      </x:c>
      <x:c r="F18" s="14" t="str">
        <x:v>连接器卸载与活动段抗拉</x:v>
      </x:c>
      <x:c r="G18" s="14" t="str">
        <x:v>长度和位置由机构全行程检查确定</x:v>
      </x:c>
    </x:row>
  </x:sheetData>
  <x:mergeCells>
    <x:mergeCell ref="A1:G2"/>
    <x:mergeCell ref="A3:G4"/>
  </x:mergeCells>
  <x:pageMargins left="0.7" right="0.7" top="0.75" bottom="0.75" header="0.3" footer="0.3"/>
  <x:tableParts count="1">
    <x:tablePart xmlns:r="http://schemas.openxmlformats.org/officeDocument/2006/relationships" r:id="Rc2125c5597c547f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2" hidden="0" customWidth="1"/>
    <x:col min="3" max="3" width="60" hidden="0" customWidth="1"/>
    <x:col min="4" max="4" width="65" hidden="0" customWidth="1"/>
    <x:col min="5" max="5" width="14" hidden="0" customWidth="1"/>
  </x:cols>
  <x:sheetData>
    <x:row r="1" ht="22" customHeight="1">
      <x:c r="A1" s="3" t="str">
        <x:v>Goose_V0.1  |  来源登记</x:v>
      </x:c>
      <x:c r="B1" s="3"/>
      <x:c r="C1" s="3"/>
      <x:c r="D1" s="3"/>
      <x:c r="E1" s="3"/>
    </x:row>
    <x:row r="2" ht="22" customHeight="1">
      <x:c r="A2" s="3"/>
      <x:c r="B2" s="3"/>
      <x:c r="C2" s="3"/>
      <x:c r="D2" s="3"/>
      <x:c r="E2" s="3"/>
    </x:row>
    <x:row r="3" ht="22" customHeight="1">
      <x:c r="A3" s="8" t="str">
        <x:v>官方资料用于核实单个组件或上游项目；不代表厂商认证Goose整机。GitHub链接会随分支更新，读取时间与可用文件blob记录在备注中。</x:v>
      </x:c>
      <x:c r="B3" s="8"/>
      <x:c r="C3" s="8"/>
      <x:c r="D3" s="8"/>
      <x:c r="E3" s="8"/>
    </x:row>
    <x:row r="4" ht="22" customHeight="1">
      <x:c r="A4" s="8"/>
      <x:c r="B4" s="8"/>
      <x:c r="C4" s="8"/>
      <x:c r="D4" s="8"/>
      <x:c r="E4" s="8"/>
    </x:row>
    <x:row r="6" ht="34" customHeight="1">
      <x:c r="A6" s="19" t="str">
        <x:v>ID</x:v>
      </x:c>
      <x:c r="B6" s="19" t="str">
        <x:v>来源</x:v>
      </x:c>
      <x:c r="C6" s="19" t="str">
        <x:v>URL</x:v>
      </x:c>
      <x:c r="D6" s="19" t="str">
        <x:v>已核对内容/限制</x:v>
      </x:c>
      <x:c r="E6" s="19" t="str">
        <x:v>核查日期</x:v>
      </x:c>
    </x:row>
    <x:row r="7" ht="72" customHeight="1">
      <x:c r="A7" s="22" t="str">
        <x:v>S01</x:v>
      </x:c>
      <x:c r="B7" s="22" t="str">
        <x:v>MicroDuck RL / 关节布局与训练约定</x:v>
      </x:c>
      <x:c r="C7" s="22" t="str">
        <x:v>https://github.com/pollen-robotics/microduck_rl/blob/develop/README.md</x:v>
      </x:c>
      <x:c r="D7" s="22" t="str">
        <x:v>每腿5关节；颈头4关节；14维动作，嘴夹独立；50 Hz策略。读取文件blob：7575f9baf33db3dd2bee7131e3b1e212d54ccac1。</x:v>
      </x:c>
      <x:c r="E7" s="22" t="str">
        <x:v>2026-09-27</x:v>
      </x:c>
    </x:row>
    <x:row r="8" ht="72" customHeight="1">
      <x:c r="A8" s="14" t="str">
        <x:v>S02</x:v>
      </x:c>
      <x:c r="B8" s="14" t="str">
        <x:v>Sai_Rotbots / 硬件成熟度</x:v>
      </x:c>
      <x:c r="C8" s="14" t="str">
        <x:v>https://github.com/sgyli7/Sai_Rotbots/blob/main/docs/OPEN_SOURCE_STATUS.md</x:v>
      </x:c>
      <x:c r="D8" s="14" t="str">
        <x:v>仿真alpha；未完成制造、实机持续力矩与热验证。读取文件blob：7a5951295e3b6736f09498e677ce3a5f656ca0f0。</x:v>
      </x:c>
      <x:c r="E8" s="14" t="str">
        <x:v>2026-09-27</x:v>
      </x:c>
    </x:row>
    <x:row r="9" ht="72" customHeight="1">
      <x:c r="A9" s="22" t="str">
        <x:v>S03</x:v>
      </x:c>
      <x:c r="B9" s="22" t="str">
        <x:v>ROBOTIS XL330-M288-T e-Manual</x:v>
      </x:c>
      <x:c r="C9" s="22" t="str">
        <x:v>https://emanual.robotis.com/docs/en/dxl/x/xl330-m288/</x:v>
      </x:c>
      <x:c r="D9" s="22" t="str">
        <x:v>18 g；20×34×26 mm；3.7–6.0 V，推荐5 V；0.52 N·m@5 V为堵转扭矩。</x:v>
      </x:c>
      <x:c r="E9" s="22" t="str">
        <x:v>2026-09-27</x:v>
      </x:c>
    </x:row>
    <x:row r="10" ht="72" customHeight="1">
      <x:c r="A10" s="14" t="str">
        <x:v>S04</x:v>
      </x:c>
      <x:c r="B10" s="14" t="str">
        <x:v>ROBOTIS XC330-M288-T e-Manual</x:v>
      </x:c>
      <x:c r="C10" s="14" t="str">
        <x:v>https://emanual.robotis.com/docs/en/dxl/x/xc330-m288/</x:v>
      </x:c>
      <x:c r="D10" s="14" t="str">
        <x:v>23 g；20×34×26 mm；3.7–6.0 V，推荐5 V；0.93 N·m@5 V为堵转扭矩；金属齿轮。</x:v>
      </x:c>
      <x:c r="E10" s="14" t="str">
        <x:v>2026-09-27</x:v>
      </x:c>
    </x:row>
    <x:row r="11" ht="72" customHeight="1">
      <x:c r="A11" s="22" t="str">
        <x:v>S05</x:v>
      </x:c>
      <x:c r="B11" s="22" t="str">
        <x:v>Radxa ZERO 3 官方文档</x:v>
      </x:c>
      <x:c r="C11" s="22" t="str">
        <x:v>https://docs.radxa.com/en/zero/zero3</x:v>
      </x:c>
      <x:c r="D11" s="22" t="str">
        <x:v>RK3566，65×30 mm；USB接口、电源、存储选项以具体板卡版本为准。</x:v>
      </x:c>
      <x:c r="E11" s="22" t="str">
        <x:v>2026-09-27</x:v>
      </x:c>
    </x:row>
    <x:row r="12" ht="72" customHeight="1">
      <x:c r="A12" s="14" t="str">
        <x:v>S06</x:v>
      </x:c>
      <x:c r="B12" s="14" t="str">
        <x:v>ROBOTIS U2D2 e-Manual</x:v>
      </x:c>
      <x:c r="C12" s="14" t="str">
        <x:v>https://emanual.robotis.com/docs/en/parts/interface/u2d2/</x:v>
      </x:c>
      <x:c r="D12" s="14" t="str">
        <x:v>USB到DYNAMIXEL通信接口；不向舵机供电。</x:v>
      </x:c>
      <x:c r="E12" s="14" t="str">
        <x:v>2026-09-27</x:v>
      </x:c>
    </x:row>
    <x:row r="13" ht="72" customHeight="1">
      <x:c r="A13" s="22" t="str">
        <x:v>S07</x:v>
      </x:c>
      <x:c r="B13" s="22" t="str">
        <x:v>Arducam B0292 官方产品页</x:v>
      </x:c>
      <x:c r="C13" s="22" t="str">
        <x:v>https://www.arducam.com/arducam-usb-autofocus-imx219-b0292.html</x:v>
      </x:c>
      <x:c r="D13" s="22" t="str">
        <x:v>8MP A219/IMX219系列自动对焦USB UVC相机；官方页面参考价USD 34.99。不是深度相机。</x:v>
      </x:c>
      <x:c r="E13" s="22" t="str">
        <x:v>2026-09-27</x:v>
      </x:c>
    </x:row>
    <x:row r="14" ht="72" customHeight="1">
      <x:c r="A14" s="14" t="str">
        <x:v>S08</x:v>
      </x:c>
      <x:c r="B14" s="14" t="str">
        <x:v>SparkFun SEN-21336 / LSM6DSV16X</x:v>
      </x:c>
      <x:c r="C14" s="14" t="str">
        <x:v>https://www.sparkfun.com/sparkfun-micro-6dof-imu-breakout-lsm6dsv16x-qwiic.html</x:v>
      </x:c>
      <x:c r="D14" s="14" t="str">
        <x:v>Micro Qwiic IMU；19.05×7.62 mm；3.3 V接口路线；官方页面参考价USD 25.50。不是MicroDuck原生DYNAMIXEL IMU板。</x:v>
      </x:c>
      <x:c r="E14" s="14" t="str">
        <x:v>2026-09-27</x:v>
      </x:c>
    </x:row>
    <x:row r="15" ht="72" customHeight="1">
      <x:c r="A15" s="22" t="str">
        <x:v>S09</x:v>
      </x:c>
      <x:c r="B15" s="22" t="str">
        <x:v>Pololu #3417 / VL53L5CX</x:v>
      </x:c>
      <x:c r="C15" s="22" t="str">
        <x:v>https://www.pololu.com/product/3417</x:v>
      </x:c>
      <x:c r="D15" s="22" t="str">
        <x:v>8×8 ToF测距；13×18×3 mm；裸板0.5 g；官方页面参考价USD 19.95。非完整RGB-D。</x:v>
      </x:c>
      <x:c r="E15" s="22" t="str">
        <x:v>2026-09-27</x:v>
      </x:c>
    </x:row>
    <x:row r="16" ht="72" customHeight="1">
      <x:c r="A16" s="14" t="str">
        <x:v>S10</x:v>
      </x:c>
      <x:c r="B16" s="14" t="str">
        <x:v>Pololu #2866 / D24V90F5</x:v>
      </x:c>
      <x:c r="C16" s="14" t="str">
        <x:v>https://www.pololu.com/product/2866</x:v>
      </x:c>
      <x:c r="D16" s="14" t="str">
        <x:v>5 V降压模块，标题9 A；持续电流取决于热条件，页面给出典型4–8 A范围；官方参考价USD 36.82。</x:v>
      </x:c>
      <x:c r="E16" s="14" t="str">
        <x:v>2026-09-27</x:v>
      </x:c>
    </x:row>
    <x:row r="17" ht="72" customHeight="1">
      <x:c r="A17" s="22" t="str">
        <x:v>S11</x:v>
      </x:c>
      <x:c r="B17" s="22" t="str">
        <x:v>MicroDuck 官方产品页</x:v>
      </x:c>
      <x:c r="C17" s="22" t="str">
        <x:v>https://store.pollen-robotics.com/products/microduck</x:v>
      </x:c>
      <x:c r="D17" s="22" t="str">
        <x:v>官方标称25 cm、780 g、15电机、RK3566、相机/ToF；仅用于参照，不是Goose规格。</x:v>
      </x:c>
      <x:c r="E17" s="22" t="str">
        <x:v>2026-09-27</x:v>
      </x:c>
    </x:row>
    <x:row r="18" ht="72" customHeight="1">
      <x:c r="A18" s="14" t="str">
        <x:v>S12</x:v>
      </x:c>
      <x:c r="B18" s="14" t="str">
        <x:v>ROBOTIS U2D2 官方商店</x:v>
      </x:c>
      <x:c r="C18" s="14" t="str">
        <x:v>https://robotis.us/products/u2d2</x:v>
      </x:c>
      <x:c r="D18" s="14" t="str">
        <x:v>官方页面参考价USD 36.92；库存/交期需确认。</x:v>
      </x:c>
      <x:c r="E18" s="14" t="str">
        <x:v>2026-09-27</x:v>
      </x:c>
    </x:row>
    <x:row r="19" ht="72" customHeight="1">
      <x:c r="A19" s="22" t="str">
        <x:v>S13</x:v>
      </x:c>
      <x:c r="B19" s="22" t="str">
        <x:v>ROBOTIS XC330-M288-T 官方商店</x:v>
      </x:c>
      <x:c r="C19" s="22" t="str">
        <x:v>https://www.robotis.us/dynamixel-xc330-m288-t/</x:v>
      </x:c>
      <x:c r="D19" s="22" t="str">
        <x:v>检索显示参考价USD 103.39；价格为公开页面快照，非含税到手报价，采购前复核。</x:v>
      </x:c>
      <x:c r="E19" s="22" t="str">
        <x:v>2026-09-27</x:v>
      </x:c>
    </x:row>
    <x:row r="20" ht="72" customHeight="1">
      <x:c r="A20" s="14" t="str">
        <x:v>S14</x:v>
      </x:c>
      <x:c r="B20" s="14" t="str">
        <x:v>MicroDuck robotd / 原生硬件接口</x:v>
      </x:c>
      <x:c r="C20" s="14" t="str">
        <x:v>https://github.com/pollen-robotics/microduck/blob/main/docs/design/robotd-design.md</x:v>
      </x:c>
      <x:c r="D20" s="14" t="str">
        <x:v>原生15舵机与imu_to_dxl v2共用串口总线；通用I2C IMU及U2D2需适配，不是原版软件即插即用。</x:v>
      </x:c>
      <x:c r="E20" s="14" t="str">
        <x:v>2026-09-27</x:v>
      </x:c>
    </x:row>
  </x:sheetData>
  <x:mergeCells>
    <x:mergeCell ref="A1:E2"/>
    <x:mergeCell ref="A3:E4"/>
  </x:mergeCells>
  <x:pageMargins left="0.7" right="0.7" top="0.75" bottom="0.75" header="0.3" footer="0.3"/>
  <x:tableParts count="1">
    <x:tablePart xmlns:r="http://schemas.openxmlformats.org/officeDocument/2006/relationships" r:id="R8b0d89a983624e63"/>
  </x:tableParts>
</x:worksheet>
</file>